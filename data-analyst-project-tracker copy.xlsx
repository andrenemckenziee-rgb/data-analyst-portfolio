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nemckenzie/Desktop/"/>
    </mc:Choice>
  </mc:AlternateContent>
  <xr:revisionPtr revIDLastSave="0" documentId="8_{A728A1DB-6BE7-9B43-8C44-CE3F0BC95429}" xr6:coauthVersionLast="47" xr6:coauthVersionMax="47" xr10:uidLastSave="{00000000-0000-0000-0000-000000000000}"/>
  <bookViews>
    <workbookView xWindow="0" yWindow="660" windowWidth="30240" windowHeight="17680" xr2:uid="{69E47B60-E9D2-1142-A9D5-B860B68A8D5F}"/>
  </bookViews>
  <sheets>
    <sheet name="Data Analyst Project" sheetId="1" r:id="rId1"/>
    <sheet name="sale_raw_data" sheetId="2" r:id="rId2"/>
    <sheet name="o_supply_sales_analysis.xlsx" sheetId="3" r:id="rId3"/>
    <sheet name="salesAnalysis" sheetId="7" r:id="rId4"/>
    <sheet name="data_cleaning_log" sheetId="4" r:id="rId5"/>
    <sheet name="sales_by_rep" sheetId="5" r:id="rId6"/>
    <sheet name="sales_by_region" sheetId="8" r:id="rId7"/>
    <sheet name="Sheet5" sheetId="6" r:id="rId8"/>
  </sheets>
  <calcPr calcId="191029"/>
  <pivotCaches>
    <pivotCache cacheId="1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3" l="1"/>
  <c r="I37" i="3"/>
  <c r="I38" i="3"/>
  <c r="I39" i="3"/>
  <c r="I40" i="3"/>
  <c r="I41" i="3"/>
  <c r="I42" i="3"/>
  <c r="I43" i="3"/>
  <c r="I44" i="3"/>
  <c r="H2" i="3"/>
  <c r="I2" i="3" s="1"/>
  <c r="H3" i="3"/>
  <c r="I3" i="3" s="1"/>
  <c r="H4" i="3"/>
  <c r="I4" i="3" s="1"/>
  <c r="H5" i="3"/>
  <c r="I5" i="3" s="1"/>
  <c r="H6" i="3"/>
  <c r="I6" i="3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H37" i="3"/>
  <c r="H38" i="3"/>
  <c r="H39" i="3"/>
  <c r="H40" i="3"/>
  <c r="H41" i="3"/>
  <c r="H42" i="3"/>
  <c r="H43" i="3"/>
  <c r="H44" i="3"/>
</calcChain>
</file>

<file path=xl/sharedStrings.xml><?xml version="1.0" encoding="utf-8"?>
<sst xmlns="http://schemas.openxmlformats.org/spreadsheetml/2006/main" count="349" uniqueCount="79">
  <si>
    <t>Data Merging Project</t>
  </si>
  <si>
    <t>Skill Focus</t>
  </si>
  <si>
    <t>Project Name</t>
  </si>
  <si>
    <t>Charts Visualisations</t>
  </si>
  <si>
    <t>Status</t>
  </si>
  <si>
    <t>Date Started</t>
  </si>
  <si>
    <t>Date Completed</t>
  </si>
  <si>
    <t>OrderDate</t>
  </si>
  <si>
    <t>Region</t>
  </si>
  <si>
    <t>Rep</t>
  </si>
  <si>
    <t>Item</t>
  </si>
  <si>
    <t>Units</t>
  </si>
  <si>
    <t>UnitCost</t>
  </si>
  <si>
    <t>Total</t>
  </si>
  <si>
    <t>East</t>
  </si>
  <si>
    <t>Jones</t>
  </si>
  <si>
    <t>Pencil</t>
  </si>
  <si>
    <t>1/23/2024</t>
  </si>
  <si>
    <t>Central</t>
  </si>
  <si>
    <t>Kivell</t>
  </si>
  <si>
    <t>Binder</t>
  </si>
  <si>
    <t>Jardine</t>
  </si>
  <si>
    <t>2/26/2024</t>
  </si>
  <si>
    <t>Gill</t>
  </si>
  <si>
    <t>Pen</t>
  </si>
  <si>
    <t>3/15/2024</t>
  </si>
  <si>
    <t>West</t>
  </si>
  <si>
    <t>Sorvino</t>
  </si>
  <si>
    <t>4/18/2024</t>
  </si>
  <si>
    <t>Andrews</t>
  </si>
  <si>
    <t>5/22/2024</t>
  </si>
  <si>
    <t>Thompson</t>
  </si>
  <si>
    <t>6/25/2024</t>
  </si>
  <si>
    <t>Morgan</t>
  </si>
  <si>
    <t>Howard</t>
  </si>
  <si>
    <t>7/29/2024</t>
  </si>
  <si>
    <t>Parent</t>
  </si>
  <si>
    <t>8/15/2024</t>
  </si>
  <si>
    <t>Smith</t>
  </si>
  <si>
    <t>Desk</t>
  </si>
  <si>
    <t>9/18/2024</t>
  </si>
  <si>
    <t>Pen Set</t>
  </si>
  <si>
    <t>10/22/2024</t>
  </si>
  <si>
    <t>11/25/2024</t>
  </si>
  <si>
    <t>12/29/2024</t>
  </si>
  <si>
    <t>1/15/2025</t>
  </si>
  <si>
    <t>2/18/2025</t>
  </si>
  <si>
    <t>3/24/2025</t>
  </si>
  <si>
    <t>4/27/2025</t>
  </si>
  <si>
    <t>5/14/2025</t>
  </si>
  <si>
    <t>5/31/2025</t>
  </si>
  <si>
    <t>6/17/2025</t>
  </si>
  <si>
    <t>7/21/2025</t>
  </si>
  <si>
    <t>8/24/2025</t>
  </si>
  <si>
    <t>9/27/2025</t>
  </si>
  <si>
    <t>10/14/2025</t>
  </si>
  <si>
    <t>10/31/2025</t>
  </si>
  <si>
    <t>11/17/2025</t>
  </si>
  <si>
    <t>12/21/2025</t>
  </si>
  <si>
    <t>Unit Cost</t>
  </si>
  <si>
    <t>Calculated Total</t>
  </si>
  <si>
    <t>Row Labels</t>
  </si>
  <si>
    <t>Grand Total</t>
  </si>
  <si>
    <t>Sum of Calculated Total</t>
  </si>
  <si>
    <t>Column1</t>
  </si>
  <si>
    <t>Created validation column</t>
  </si>
  <si>
    <t>Verified calculated totals</t>
  </si>
  <si>
    <t>Checked and removed duplicates</t>
  </si>
  <si>
    <t>Total Sales (£)</t>
  </si>
  <si>
    <t>20.02.2026</t>
  </si>
  <si>
    <t>Sales Data Cleaning and Validation Project</t>
  </si>
  <si>
    <t>Sales Analysis Using Pivot Tables</t>
  </si>
  <si>
    <t>Sales Dashboard Project</t>
  </si>
  <si>
    <t>Data Cleaning, Data Validation, Excel Formulas, Pivot Tables</t>
  </si>
  <si>
    <t>For your pivot table analysis project:</t>
  </si>
  <si>
    <t>Pivot Tables, Data Aggregation, Sales Analysis</t>
  </si>
  <si>
    <t>Completed</t>
  </si>
  <si>
    <t>19.02.2026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</si>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</sst>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&quot;£&quot;#,##0.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20"/>
      <color rgb="FF333333"/>
      <name val="Georgia"/>
      <family val="1"/>
    </font>
    <font>
      <b/>
      <sz val="20"/>
      <color rgb="FF333333"/>
      <name val="Georgia"/>
      <family val="1"/>
    </font>
    <font>
      <sz val="12"/>
      <color theme="1"/>
      <name val="Calibri"/>
      <family val="2"/>
    </font>
    <font>
      <b/>
      <sz val="14"/>
      <color rgb="FFFFFFFF"/>
      <name val="Segoe UI"/>
    </font>
    <font>
      <sz val="14"/>
      <color rgb="FF000000"/>
      <name val="Segoe UI"/>
    </font>
    <font>
      <sz val="12"/>
      <color theme="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4" fillId="0" borderId="0" xfId="0" applyFont="1"/>
    <xf numFmtId="14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 applyProtection="1">
      <alignment vertical="center"/>
      <protection locked="0"/>
    </xf>
    <xf numFmtId="164" fontId="6" fillId="0" borderId="1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0" fontId="7" fillId="0" borderId="0" xfId="0" applyFont="1"/>
    <xf numFmtId="14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 applyProtection="1">
      <alignment vertical="center"/>
      <protection locked="0"/>
    </xf>
    <xf numFmtId="164" fontId="6" fillId="0" borderId="3" xfId="0" applyNumberFormat="1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" fillId="2" borderId="5" xfId="0" applyFont="1" applyFill="1" applyBorder="1" applyAlignment="1">
      <alignment horizontal="left" vertical="center"/>
    </xf>
    <xf numFmtId="165" fontId="0" fillId="0" borderId="0" xfId="0" applyNumberFormat="1"/>
  </cellXfs>
  <cellStyles count="1">
    <cellStyle name="Normal" xfId="0" builtinId="0"/>
  </cellStyles>
  <dxfs count="17"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font>
        <strike val="0"/>
        <outline val="0"/>
        <shadow val="0"/>
        <u val="none"/>
        <vertAlign val="baseline"/>
        <name val="Segoe U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Segoe U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egoe UI"/>
        <scheme val="none"/>
      </font>
      <numFmt numFmtId="164" formatCode="0.00_);\(0.00\)"/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egoe UI"/>
        <scheme val="none"/>
      </font>
      <numFmt numFmtId="164" formatCode="0.00_);\(0.00\)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egoe UI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egoe U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egoe UI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egoe UI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Segoe UI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name val="Segoe U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Segoe UI"/>
        <scheme val="none"/>
      </font>
      <fill>
        <patternFill patternType="solid">
          <fgColor rgb="FF000000"/>
          <bgColor rgb="FF00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ne Mckenzie" refreshedDate="46073.66734201389" createdVersion="8" refreshedVersion="8" minRefreshableVersion="3" recordCount="43" xr:uid="{BAA5DC5D-B4A9-BD46-B805-AEF808DBC7C3}">
  <cacheSource type="worksheet">
    <worksheetSource name="sales_clean_data"/>
  </cacheSource>
  <cacheFields count="8">
    <cacheField name="OrderDate" numFmtId="14">
      <sharedItems containsSemiMixedTypes="0" containsNonDate="0" containsDate="1" containsString="0" minDate="2024-01-06T00:00:00" maxDate="2025-12-22T00:00:00" count="43">
        <d v="2024-01-06T00:00:00"/>
        <d v="2024-01-23T00:00:00"/>
        <d v="2024-02-09T00:00:00"/>
        <d v="2024-02-26T00:00:00"/>
        <d v="2024-03-15T00:00:00"/>
        <d v="2024-04-01T00:00:00"/>
        <d v="2024-04-18T00:00:00"/>
        <d v="2024-05-05T00:00:00"/>
        <d v="2024-05-22T00:00:00"/>
        <d v="2024-06-08T00:00:00"/>
        <d v="2024-06-25T00:00:00"/>
        <d v="2024-07-12T00:00:00"/>
        <d v="2024-07-29T00:00:00"/>
        <d v="2024-08-15T00:00:00"/>
        <d v="2024-09-01T00:00:00"/>
        <d v="2024-09-18T00:00:00"/>
        <d v="2024-10-05T00:00:00"/>
        <d v="2024-10-22T00:00:00"/>
        <d v="2024-11-08T00:00:00"/>
        <d v="2024-11-25T00:00:00"/>
        <d v="2024-12-12T00:00:00"/>
        <d v="2024-12-29T00:00:00"/>
        <d v="2025-01-15T00:00:00"/>
        <d v="2025-02-01T00:00:00"/>
        <d v="2025-02-18T00:00:00"/>
        <d v="2025-03-07T00:00:00"/>
        <d v="2025-03-24T00:00:00"/>
        <d v="2025-04-10T00:00:00"/>
        <d v="2025-04-27T00:00:00"/>
        <d v="2025-05-14T00:00:00"/>
        <d v="2025-05-31T00:00:00"/>
        <d v="2025-06-17T00:00:00"/>
        <d v="2025-07-04T00:00:00"/>
        <d v="2025-07-21T00:00:00"/>
        <d v="2025-08-07T00:00:00"/>
        <d v="2025-08-24T00:00:00"/>
        <d v="2025-09-10T00:00:00"/>
        <d v="2025-09-27T00:00:00"/>
        <d v="2025-10-14T00:00:00"/>
        <d v="2025-10-31T00:00:00"/>
        <d v="2025-11-17T00:00:00"/>
        <d v="2025-12-04T00:00:00"/>
        <d v="2025-12-21T00:00:00"/>
      </sharedItems>
    </cacheField>
    <cacheField name="Region" numFmtId="0">
      <sharedItems count="3">
        <s v="East"/>
        <s v="Central"/>
        <s v="West"/>
      </sharedItems>
    </cacheField>
    <cacheField name="Rep" numFmtId="0">
      <sharedItems count="11">
        <s v="Jones"/>
        <s v="Kivell"/>
        <s v="Jardine"/>
        <s v="Gill"/>
        <s v="Sorvino"/>
        <s v="Andrews"/>
        <s v="Thompson"/>
        <s v="Morgan"/>
        <s v="Howard"/>
        <s v="Parent"/>
        <s v="Smith"/>
      </sharedItems>
    </cacheField>
    <cacheField name="Item" numFmtId="0">
      <sharedItems count="5">
        <s v="Pencil"/>
        <s v="Binder"/>
        <s v="Pen"/>
        <s v="Desk"/>
        <s v="Pen Set"/>
      </sharedItems>
    </cacheField>
    <cacheField name="Units" numFmtId="0">
      <sharedItems containsSemiMixedTypes="0" containsString="0" containsNumber="1" containsInteger="1" minValue="2" maxValue="96"/>
    </cacheField>
    <cacheField name="Unit Cost" numFmtId="164">
      <sharedItems containsSemiMixedTypes="0" containsString="0" containsNumber="1" minValue="1.29" maxValue="275"/>
    </cacheField>
    <cacheField name="Total" numFmtId="164">
      <sharedItems containsSemiMixedTypes="0" containsString="0" containsNumber="1" minValue="9.0299999999999994" maxValue="1879.06"/>
    </cacheField>
    <cacheField name="Calculated Total" numFmtId="0">
      <sharedItems containsSemiMixedTypes="0" containsString="0" containsNumber="1" minValue="9.0300000000000011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x v="0"/>
    <x v="0"/>
    <n v="95"/>
    <n v="1.99"/>
    <n v="189.05"/>
    <n v="189.05"/>
  </r>
  <r>
    <x v="1"/>
    <x v="1"/>
    <x v="1"/>
    <x v="1"/>
    <n v="50"/>
    <n v="19.989999999999998"/>
    <n v="999.5"/>
    <n v="999.49999999999989"/>
  </r>
  <r>
    <x v="2"/>
    <x v="1"/>
    <x v="2"/>
    <x v="0"/>
    <n v="36"/>
    <n v="4.99"/>
    <n v="179.64"/>
    <n v="179.64000000000001"/>
  </r>
  <r>
    <x v="3"/>
    <x v="1"/>
    <x v="3"/>
    <x v="2"/>
    <n v="27"/>
    <n v="19.989999999999998"/>
    <n v="539.73"/>
    <n v="539.7299999999999"/>
  </r>
  <r>
    <x v="4"/>
    <x v="2"/>
    <x v="4"/>
    <x v="0"/>
    <n v="56"/>
    <n v="2.99"/>
    <n v="167.44"/>
    <n v="167.44"/>
  </r>
  <r>
    <x v="5"/>
    <x v="0"/>
    <x v="0"/>
    <x v="1"/>
    <n v="60"/>
    <n v="4.99"/>
    <n v="299.39999999999998"/>
    <n v="299.40000000000003"/>
  </r>
  <r>
    <x v="6"/>
    <x v="1"/>
    <x v="5"/>
    <x v="0"/>
    <n v="75"/>
    <n v="1.99"/>
    <n v="149.25"/>
    <n v="149.25"/>
  </r>
  <r>
    <x v="7"/>
    <x v="1"/>
    <x v="2"/>
    <x v="0"/>
    <n v="90"/>
    <n v="4.99"/>
    <n v="449.1"/>
    <n v="449.1"/>
  </r>
  <r>
    <x v="8"/>
    <x v="2"/>
    <x v="6"/>
    <x v="0"/>
    <n v="32"/>
    <n v="1.99"/>
    <n v="63.68"/>
    <n v="63.68"/>
  </r>
  <r>
    <x v="9"/>
    <x v="0"/>
    <x v="0"/>
    <x v="1"/>
    <n v="60"/>
    <n v="8.99"/>
    <n v="539.4"/>
    <n v="539.4"/>
  </r>
  <r>
    <x v="10"/>
    <x v="1"/>
    <x v="7"/>
    <x v="0"/>
    <n v="90"/>
    <n v="4.99"/>
    <n v="449.1"/>
    <n v="449.1"/>
  </r>
  <r>
    <x v="11"/>
    <x v="0"/>
    <x v="8"/>
    <x v="1"/>
    <n v="29"/>
    <n v="1.99"/>
    <n v="57.71"/>
    <n v="57.71"/>
  </r>
  <r>
    <x v="12"/>
    <x v="0"/>
    <x v="9"/>
    <x v="1"/>
    <n v="81"/>
    <n v="19.989999999999998"/>
    <n v="1619.19"/>
    <n v="1619.1899999999998"/>
  </r>
  <r>
    <x v="13"/>
    <x v="0"/>
    <x v="0"/>
    <x v="0"/>
    <n v="35"/>
    <n v="4.99"/>
    <n v="174.65"/>
    <n v="174.65"/>
  </r>
  <r>
    <x v="14"/>
    <x v="1"/>
    <x v="10"/>
    <x v="3"/>
    <n v="2"/>
    <n v="125"/>
    <n v="250"/>
    <n v="250"/>
  </r>
  <r>
    <x v="15"/>
    <x v="0"/>
    <x v="0"/>
    <x v="4"/>
    <n v="16"/>
    <n v="15.99"/>
    <n v="255.84"/>
    <n v="255.84"/>
  </r>
  <r>
    <x v="16"/>
    <x v="1"/>
    <x v="7"/>
    <x v="1"/>
    <n v="28"/>
    <n v="8.99"/>
    <n v="251.72"/>
    <n v="251.72"/>
  </r>
  <r>
    <x v="17"/>
    <x v="0"/>
    <x v="0"/>
    <x v="2"/>
    <n v="64"/>
    <n v="8.99"/>
    <n v="575.36"/>
    <n v="575.36"/>
  </r>
  <r>
    <x v="18"/>
    <x v="0"/>
    <x v="9"/>
    <x v="2"/>
    <n v="15"/>
    <n v="19.989999999999998"/>
    <n v="299.85000000000002"/>
    <n v="299.84999999999997"/>
  </r>
  <r>
    <x v="19"/>
    <x v="1"/>
    <x v="1"/>
    <x v="4"/>
    <n v="96"/>
    <n v="4.99"/>
    <n v="479.04"/>
    <n v="479.04"/>
  </r>
  <r>
    <x v="20"/>
    <x v="1"/>
    <x v="10"/>
    <x v="0"/>
    <n v="67"/>
    <n v="1.29"/>
    <n v="86.43"/>
    <n v="86.43"/>
  </r>
  <r>
    <x v="21"/>
    <x v="0"/>
    <x v="9"/>
    <x v="4"/>
    <n v="74"/>
    <n v="15.99"/>
    <n v="1183.26"/>
    <n v="1183.26"/>
  </r>
  <r>
    <x v="22"/>
    <x v="1"/>
    <x v="3"/>
    <x v="1"/>
    <n v="46"/>
    <n v="8.99"/>
    <n v="413.54"/>
    <n v="413.54"/>
  </r>
  <r>
    <x v="23"/>
    <x v="1"/>
    <x v="10"/>
    <x v="1"/>
    <n v="87"/>
    <n v="15"/>
    <n v="1305"/>
    <n v="1305"/>
  </r>
  <r>
    <x v="24"/>
    <x v="0"/>
    <x v="0"/>
    <x v="1"/>
    <n v="4"/>
    <n v="4.99"/>
    <n v="19.96"/>
    <n v="19.96"/>
  </r>
  <r>
    <x v="25"/>
    <x v="2"/>
    <x v="4"/>
    <x v="1"/>
    <n v="7"/>
    <n v="19.989999999999998"/>
    <n v="139.93"/>
    <n v="139.92999999999998"/>
  </r>
  <r>
    <x v="26"/>
    <x v="1"/>
    <x v="2"/>
    <x v="4"/>
    <n v="50"/>
    <n v="4.99"/>
    <n v="249.5"/>
    <n v="249.5"/>
  </r>
  <r>
    <x v="27"/>
    <x v="1"/>
    <x v="5"/>
    <x v="0"/>
    <n v="66"/>
    <n v="1.99"/>
    <n v="131.34"/>
    <n v="131.34"/>
  </r>
  <r>
    <x v="28"/>
    <x v="0"/>
    <x v="8"/>
    <x v="2"/>
    <n v="96"/>
    <n v="4.99"/>
    <n v="479.04"/>
    <n v="479.04"/>
  </r>
  <r>
    <x v="29"/>
    <x v="1"/>
    <x v="3"/>
    <x v="0"/>
    <n v="53"/>
    <n v="1.29"/>
    <n v="68.37"/>
    <n v="68.37"/>
  </r>
  <r>
    <x v="30"/>
    <x v="1"/>
    <x v="3"/>
    <x v="1"/>
    <n v="80"/>
    <n v="8.99"/>
    <n v="719.2"/>
    <n v="719.2"/>
  </r>
  <r>
    <x v="31"/>
    <x v="1"/>
    <x v="1"/>
    <x v="3"/>
    <n v="5"/>
    <n v="125"/>
    <n v="625"/>
    <n v="625"/>
  </r>
  <r>
    <x v="32"/>
    <x v="0"/>
    <x v="0"/>
    <x v="4"/>
    <n v="62"/>
    <n v="4.99"/>
    <n v="309.38"/>
    <n v="309.38"/>
  </r>
  <r>
    <x v="33"/>
    <x v="1"/>
    <x v="7"/>
    <x v="4"/>
    <n v="55"/>
    <n v="12.49"/>
    <n v="686.95"/>
    <n v="686.95"/>
  </r>
  <r>
    <x v="34"/>
    <x v="1"/>
    <x v="1"/>
    <x v="4"/>
    <n v="42"/>
    <n v="23.95"/>
    <n v="1005.9"/>
    <n v="1005.9"/>
  </r>
  <r>
    <x v="35"/>
    <x v="2"/>
    <x v="4"/>
    <x v="3"/>
    <n v="3"/>
    <n v="275"/>
    <n v="825"/>
    <n v="825"/>
  </r>
  <r>
    <x v="36"/>
    <x v="1"/>
    <x v="3"/>
    <x v="0"/>
    <n v="7"/>
    <n v="1.29"/>
    <n v="9.0299999999999994"/>
    <n v="9.0300000000000011"/>
  </r>
  <r>
    <x v="37"/>
    <x v="2"/>
    <x v="4"/>
    <x v="2"/>
    <n v="76"/>
    <n v="1.99"/>
    <n v="151.24"/>
    <n v="151.24"/>
  </r>
  <r>
    <x v="38"/>
    <x v="2"/>
    <x v="6"/>
    <x v="1"/>
    <n v="57"/>
    <n v="19.989999999999998"/>
    <n v="1139.43"/>
    <n v="1139.4299999999998"/>
  </r>
  <r>
    <x v="39"/>
    <x v="1"/>
    <x v="5"/>
    <x v="0"/>
    <n v="14"/>
    <n v="1.29"/>
    <n v="18.059999999999999"/>
    <n v="18.060000000000002"/>
  </r>
  <r>
    <x v="40"/>
    <x v="1"/>
    <x v="2"/>
    <x v="1"/>
    <n v="11"/>
    <n v="4.99"/>
    <n v="54.89"/>
    <n v="54.89"/>
  </r>
  <r>
    <x v="41"/>
    <x v="1"/>
    <x v="2"/>
    <x v="1"/>
    <n v="94"/>
    <n v="19.989999999999998"/>
    <n v="1879.06"/>
    <n v="1879.06"/>
  </r>
  <r>
    <x v="42"/>
    <x v="1"/>
    <x v="5"/>
    <x v="1"/>
    <n v="28"/>
    <n v="4.99"/>
    <n v="139.72"/>
    <n v="139.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B199B-767F-D448-8C84-543776BC218D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numFmtId="1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2">
        <item x="5"/>
        <item x="3"/>
        <item x="8"/>
        <item x="2"/>
        <item x="0"/>
        <item x="1"/>
        <item x="7"/>
        <item x="9"/>
        <item x="10"/>
        <item x="4"/>
        <item x="6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numFmtId="164" showAll="0"/>
    <pivotField numFmtId="164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 (£)" fld="7" baseField="0" baseItem="0" numFmtId="165"/>
  </dataFields>
  <formats count="1">
    <format dxfId="4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9D33C-51A1-3F43-86DB-BFE02E199D28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p">
  <location ref="A3:B15" firstHeaderRow="1" firstDataRow="1" firstDataCol="1"/>
  <pivotFields count="8">
    <pivotField numFmtId="14" showAll="0"/>
    <pivotField showAll="0"/>
    <pivotField axis="axisRow" showAll="0">
      <items count="12">
        <item x="5"/>
        <item x="3"/>
        <item x="8"/>
        <item x="2"/>
        <item x="0"/>
        <item x="1"/>
        <item x="7"/>
        <item x="9"/>
        <item x="10"/>
        <item x="4"/>
        <item x="6"/>
        <item t="default"/>
      </items>
    </pivotField>
    <pivotField showAll="0"/>
    <pivotField showAll="0"/>
    <pivotField numFmtId="164" showAll="0"/>
    <pivotField numFmtId="164"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alculated Total" fld="7" baseField="0" baseItem="0" numFmtId="165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A212E-6A04-F74D-8BF0-4BC0B83F6662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 (£)" fld="7" baseField="0" baseItem="0" numFmtId="165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8C978-CD57-9045-AE78-D9A7AE930BEB}" name="sales_clean_data" displayName="sales_clean_data" ref="A1:I44" totalsRowShown="0" headerRowDxfId="16" dataDxfId="15" tableBorderDxfId="14">
  <autoFilter ref="A1:I44" xr:uid="{EB38C978-CD57-9045-AE78-D9A7AE930BEB}"/>
  <tableColumns count="9">
    <tableColumn id="1" xr3:uid="{1FB37B66-FD98-6947-8CAC-679767B5F988}" name="OrderDate" dataDxfId="13"/>
    <tableColumn id="2" xr3:uid="{3B190E12-6ED6-5448-B55C-FD993CE25C5C}" name="Region" dataDxfId="12"/>
    <tableColumn id="3" xr3:uid="{F19EE79F-0FF0-834D-A2B5-A75FA210F60A}" name="Rep" dataDxfId="11"/>
    <tableColumn id="4" xr3:uid="{06D1A38C-476A-AA42-8BBE-1C4A8F86AC5B}" name="Item" dataDxfId="10"/>
    <tableColumn id="5" xr3:uid="{E55B3F32-D546-D54E-BC56-0F861E4D708B}" name="Units" dataDxfId="9"/>
    <tableColumn id="6" xr3:uid="{DD34352A-5B4A-E74C-8D5C-62D71B53612F}" name="Unit Cost" dataDxfId="8"/>
    <tableColumn id="7" xr3:uid="{A4D70060-DD5A-514E-B8B5-06A1FDF609AF}" name="Total" dataDxfId="7"/>
    <tableColumn id="8" xr3:uid="{EE3F0659-143F-294B-A268-DCF157D6F94E}" name="Calculated Total" dataDxfId="6">
      <calculatedColumnFormula>E2 * F2</calculatedColumnFormula>
    </tableColumn>
    <tableColumn id="9" xr3:uid="{98A576DB-8F0C-274A-9365-8522F8167F2D}" name="Column1" dataDxfId="5">
      <calculatedColumnFormula>IF(sales_clean_data[[#This Row],[Total]]=sales_clean_data[[#This Row],[Calculated Total]],"Correct","Error")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3437-58DB-0C4F-B4D6-F0E2C1A5A673}">
  <dimension ref="A1:E5"/>
  <sheetViews>
    <sheetView tabSelected="1" workbookViewId="0">
      <selection activeCell="D19" sqref="D19"/>
    </sheetView>
  </sheetViews>
  <sheetFormatPr baseColWidth="10" defaultRowHeight="16" x14ac:dyDescent="0.2"/>
  <cols>
    <col min="1" max="1" width="21.33203125" customWidth="1"/>
    <col min="2" max="2" width="41.5" customWidth="1"/>
    <col min="4" max="4" width="18.83203125" customWidth="1"/>
  </cols>
  <sheetData>
    <row r="1" spans="1:5" x14ac:dyDescent="0.2">
      <c r="A1" s="1" t="s">
        <v>2</v>
      </c>
      <c r="B1" s="1" t="s">
        <v>1</v>
      </c>
      <c r="C1" t="s">
        <v>4</v>
      </c>
      <c r="D1" s="1" t="s">
        <v>5</v>
      </c>
      <c r="E1" s="1" t="s">
        <v>6</v>
      </c>
    </row>
    <row r="2" spans="1:5" x14ac:dyDescent="0.2">
      <c r="A2" t="s">
        <v>70</v>
      </c>
      <c r="B2" t="s">
        <v>73</v>
      </c>
      <c r="C2" t="s">
        <v>76</v>
      </c>
      <c r="D2" t="s">
        <v>77</v>
      </c>
      <c r="E2" t="s">
        <v>69</v>
      </c>
    </row>
    <row r="3" spans="1:5" x14ac:dyDescent="0.2">
      <c r="A3" t="s">
        <v>71</v>
      </c>
      <c r="B3" t="s">
        <v>74</v>
      </c>
      <c r="C3" t="s">
        <v>78</v>
      </c>
    </row>
    <row r="4" spans="1:5" x14ac:dyDescent="0.2">
      <c r="A4" t="s">
        <v>72</v>
      </c>
      <c r="B4" t="s">
        <v>75</v>
      </c>
      <c r="C4" t="s">
        <v>78</v>
      </c>
    </row>
    <row r="5" spans="1:5" x14ac:dyDescent="0.2">
      <c r="A5" t="s">
        <v>0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9076-054F-8945-96B1-F04184146DCC}">
  <dimension ref="A1:G44"/>
  <sheetViews>
    <sheetView workbookViewId="0">
      <selection activeCell="I5" sqref="I5"/>
    </sheetView>
  </sheetViews>
  <sheetFormatPr baseColWidth="10" defaultRowHeight="16" x14ac:dyDescent="0.2"/>
  <sheetData>
    <row r="1" spans="1:7" ht="25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ht="25" x14ac:dyDescent="0.25">
      <c r="A2" s="4">
        <v>45444</v>
      </c>
      <c r="B2" s="5" t="s">
        <v>14</v>
      </c>
      <c r="C2" s="5" t="s">
        <v>15</v>
      </c>
      <c r="D2" s="5" t="s">
        <v>16</v>
      </c>
      <c r="E2" s="5">
        <v>95</v>
      </c>
      <c r="F2" s="5">
        <v>1.99</v>
      </c>
      <c r="G2" s="5">
        <v>189.05</v>
      </c>
    </row>
    <row r="3" spans="1:7" ht="25" x14ac:dyDescent="0.25">
      <c r="A3" s="5" t="s">
        <v>17</v>
      </c>
      <c r="B3" s="5" t="s">
        <v>18</v>
      </c>
      <c r="C3" s="5" t="s">
        <v>19</v>
      </c>
      <c r="D3" s="5" t="s">
        <v>20</v>
      </c>
      <c r="E3" s="5">
        <v>50</v>
      </c>
      <c r="F3" s="5">
        <v>19.989999999999998</v>
      </c>
      <c r="G3" s="5">
        <v>999.5</v>
      </c>
    </row>
    <row r="4" spans="1:7" ht="25" x14ac:dyDescent="0.25">
      <c r="A4" s="4">
        <v>45537</v>
      </c>
      <c r="B4" s="5" t="s">
        <v>18</v>
      </c>
      <c r="C4" s="5" t="s">
        <v>21</v>
      </c>
      <c r="D4" s="5" t="s">
        <v>16</v>
      </c>
      <c r="E4" s="5">
        <v>36</v>
      </c>
      <c r="F4" s="5">
        <v>4.99</v>
      </c>
      <c r="G4" s="5">
        <v>179.64</v>
      </c>
    </row>
    <row r="5" spans="1:7" ht="25" x14ac:dyDescent="0.25">
      <c r="A5" s="5" t="s">
        <v>22</v>
      </c>
      <c r="B5" s="5" t="s">
        <v>18</v>
      </c>
      <c r="C5" s="5" t="s">
        <v>23</v>
      </c>
      <c r="D5" s="5" t="s">
        <v>24</v>
      </c>
      <c r="E5" s="5">
        <v>27</v>
      </c>
      <c r="F5" s="5">
        <v>19.989999999999998</v>
      </c>
      <c r="G5" s="5">
        <v>539.73</v>
      </c>
    </row>
    <row r="6" spans="1:7" ht="25" x14ac:dyDescent="0.25">
      <c r="A6" s="5" t="s">
        <v>25</v>
      </c>
      <c r="B6" s="5" t="s">
        <v>26</v>
      </c>
      <c r="C6" s="5" t="s">
        <v>27</v>
      </c>
      <c r="D6" s="5" t="s">
        <v>16</v>
      </c>
      <c r="E6" s="5">
        <v>56</v>
      </c>
      <c r="F6" s="5">
        <v>2.99</v>
      </c>
      <c r="G6" s="5">
        <v>167.44</v>
      </c>
    </row>
    <row r="7" spans="1:7" ht="25" x14ac:dyDescent="0.25">
      <c r="A7" s="4">
        <v>45295</v>
      </c>
      <c r="B7" s="5" t="s">
        <v>14</v>
      </c>
      <c r="C7" s="5" t="s">
        <v>15</v>
      </c>
      <c r="D7" s="5" t="s">
        <v>20</v>
      </c>
      <c r="E7" s="5">
        <v>60</v>
      </c>
      <c r="F7" s="5">
        <v>4.99</v>
      </c>
      <c r="G7" s="5">
        <v>299.39999999999998</v>
      </c>
    </row>
    <row r="8" spans="1:7" ht="25" x14ac:dyDescent="0.25">
      <c r="A8" s="5" t="s">
        <v>28</v>
      </c>
      <c r="B8" s="5" t="s">
        <v>18</v>
      </c>
      <c r="C8" s="5" t="s">
        <v>29</v>
      </c>
      <c r="D8" s="5" t="s">
        <v>16</v>
      </c>
      <c r="E8" s="5">
        <v>75</v>
      </c>
      <c r="F8" s="5">
        <v>1.99</v>
      </c>
      <c r="G8" s="5">
        <v>149.25</v>
      </c>
    </row>
    <row r="9" spans="1:7" ht="25" x14ac:dyDescent="0.25">
      <c r="A9" s="4">
        <v>45417</v>
      </c>
      <c r="B9" s="5" t="s">
        <v>18</v>
      </c>
      <c r="C9" s="5" t="s">
        <v>21</v>
      </c>
      <c r="D9" s="5" t="s">
        <v>16</v>
      </c>
      <c r="E9" s="5">
        <v>90</v>
      </c>
      <c r="F9" s="5">
        <v>4.99</v>
      </c>
      <c r="G9" s="5">
        <v>449.1</v>
      </c>
    </row>
    <row r="10" spans="1:7" ht="25" x14ac:dyDescent="0.25">
      <c r="A10" s="5" t="s">
        <v>30</v>
      </c>
      <c r="B10" s="5" t="s">
        <v>26</v>
      </c>
      <c r="C10" s="5" t="s">
        <v>31</v>
      </c>
      <c r="D10" s="5" t="s">
        <v>16</v>
      </c>
      <c r="E10" s="5">
        <v>32</v>
      </c>
      <c r="F10" s="5">
        <v>1.99</v>
      </c>
      <c r="G10" s="5">
        <v>63.68</v>
      </c>
    </row>
    <row r="11" spans="1:7" ht="25" x14ac:dyDescent="0.25">
      <c r="A11" s="4">
        <v>45510</v>
      </c>
      <c r="B11" s="5" t="s">
        <v>14</v>
      </c>
      <c r="C11" s="5" t="s">
        <v>15</v>
      </c>
      <c r="D11" s="5" t="s">
        <v>20</v>
      </c>
      <c r="E11" s="5">
        <v>60</v>
      </c>
      <c r="F11" s="5">
        <v>8.99</v>
      </c>
      <c r="G11" s="5">
        <v>539.4</v>
      </c>
    </row>
    <row r="12" spans="1:7" ht="25" x14ac:dyDescent="0.25">
      <c r="A12" s="5" t="s">
        <v>32</v>
      </c>
      <c r="B12" s="5" t="s">
        <v>18</v>
      </c>
      <c r="C12" s="5" t="s">
        <v>33</v>
      </c>
      <c r="D12" s="5" t="s">
        <v>16</v>
      </c>
      <c r="E12" s="5">
        <v>90</v>
      </c>
      <c r="F12" s="5">
        <v>4.99</v>
      </c>
      <c r="G12" s="5">
        <v>449.1</v>
      </c>
    </row>
    <row r="13" spans="1:7" ht="25" x14ac:dyDescent="0.25">
      <c r="A13" s="4">
        <v>45633</v>
      </c>
      <c r="B13" s="5" t="s">
        <v>14</v>
      </c>
      <c r="C13" s="5" t="s">
        <v>34</v>
      </c>
      <c r="D13" s="5" t="s">
        <v>20</v>
      </c>
      <c r="E13" s="5">
        <v>29</v>
      </c>
      <c r="F13" s="5">
        <v>1.99</v>
      </c>
      <c r="G13" s="5">
        <v>57.71</v>
      </c>
    </row>
    <row r="14" spans="1:7" ht="25" x14ac:dyDescent="0.25">
      <c r="A14" s="5" t="s">
        <v>35</v>
      </c>
      <c r="B14" s="5" t="s">
        <v>14</v>
      </c>
      <c r="C14" s="5" t="s">
        <v>36</v>
      </c>
      <c r="D14" s="5" t="s">
        <v>20</v>
      </c>
      <c r="E14" s="5">
        <v>81</v>
      </c>
      <c r="F14" s="5">
        <v>19.989999999999998</v>
      </c>
      <c r="G14" s="5">
        <v>1619.19</v>
      </c>
    </row>
    <row r="15" spans="1:7" ht="25" x14ac:dyDescent="0.25">
      <c r="A15" s="5" t="s">
        <v>37</v>
      </c>
      <c r="B15" s="5" t="s">
        <v>14</v>
      </c>
      <c r="C15" s="5" t="s">
        <v>15</v>
      </c>
      <c r="D15" s="5" t="s">
        <v>16</v>
      </c>
      <c r="E15" s="5">
        <v>35</v>
      </c>
      <c r="F15" s="5">
        <v>4.99</v>
      </c>
      <c r="G15" s="5">
        <v>174.65</v>
      </c>
    </row>
    <row r="16" spans="1:7" ht="25" x14ac:dyDescent="0.25">
      <c r="A16" s="4">
        <v>45300</v>
      </c>
      <c r="B16" s="5" t="s">
        <v>18</v>
      </c>
      <c r="C16" s="5" t="s">
        <v>38</v>
      </c>
      <c r="D16" s="5" t="s">
        <v>39</v>
      </c>
      <c r="E16" s="5">
        <v>2</v>
      </c>
      <c r="F16" s="5">
        <v>125</v>
      </c>
      <c r="G16" s="5">
        <v>250</v>
      </c>
    </row>
    <row r="17" spans="1:7" ht="25" x14ac:dyDescent="0.25">
      <c r="A17" s="5" t="s">
        <v>40</v>
      </c>
      <c r="B17" s="5" t="s">
        <v>14</v>
      </c>
      <c r="C17" s="5" t="s">
        <v>15</v>
      </c>
      <c r="D17" s="5" t="s">
        <v>41</v>
      </c>
      <c r="E17" s="5">
        <v>16</v>
      </c>
      <c r="F17" s="5">
        <v>15.99</v>
      </c>
      <c r="G17" s="5">
        <v>255.84</v>
      </c>
    </row>
    <row r="18" spans="1:7" ht="25" x14ac:dyDescent="0.25">
      <c r="A18" s="4">
        <v>45422</v>
      </c>
      <c r="B18" s="5" t="s">
        <v>18</v>
      </c>
      <c r="C18" s="5" t="s">
        <v>33</v>
      </c>
      <c r="D18" s="5" t="s">
        <v>20</v>
      </c>
      <c r="E18" s="5">
        <v>28</v>
      </c>
      <c r="F18" s="5">
        <v>8.99</v>
      </c>
      <c r="G18" s="5">
        <v>251.72</v>
      </c>
    </row>
    <row r="19" spans="1:7" ht="25" x14ac:dyDescent="0.25">
      <c r="A19" s="5" t="s">
        <v>42</v>
      </c>
      <c r="B19" s="5" t="s">
        <v>14</v>
      </c>
      <c r="C19" s="5" t="s">
        <v>15</v>
      </c>
      <c r="D19" s="5" t="s">
        <v>24</v>
      </c>
      <c r="E19" s="5">
        <v>64</v>
      </c>
      <c r="F19" s="5">
        <v>8.99</v>
      </c>
      <c r="G19" s="5">
        <v>575.36</v>
      </c>
    </row>
    <row r="20" spans="1:7" ht="25" x14ac:dyDescent="0.25">
      <c r="A20" s="4">
        <v>45515</v>
      </c>
      <c r="B20" s="5" t="s">
        <v>14</v>
      </c>
      <c r="C20" s="5" t="s">
        <v>36</v>
      </c>
      <c r="D20" s="5" t="s">
        <v>24</v>
      </c>
      <c r="E20" s="5">
        <v>15</v>
      </c>
      <c r="F20" s="5">
        <v>19.989999999999998</v>
      </c>
      <c r="G20" s="5">
        <v>299.85000000000002</v>
      </c>
    </row>
    <row r="21" spans="1:7" ht="25" x14ac:dyDescent="0.25">
      <c r="A21" s="5" t="s">
        <v>43</v>
      </c>
      <c r="B21" s="5" t="s">
        <v>18</v>
      </c>
      <c r="C21" s="5" t="s">
        <v>19</v>
      </c>
      <c r="D21" s="5" t="s">
        <v>41</v>
      </c>
      <c r="E21" s="5">
        <v>96</v>
      </c>
      <c r="F21" s="5">
        <v>4.99</v>
      </c>
      <c r="G21" s="5">
        <v>479.04</v>
      </c>
    </row>
    <row r="22" spans="1:7" ht="25" x14ac:dyDescent="0.25">
      <c r="A22" s="4">
        <v>45638</v>
      </c>
      <c r="B22" s="5" t="s">
        <v>18</v>
      </c>
      <c r="C22" s="5" t="s">
        <v>38</v>
      </c>
      <c r="D22" s="5" t="s">
        <v>16</v>
      </c>
      <c r="E22" s="5">
        <v>67</v>
      </c>
      <c r="F22" s="5">
        <v>1.29</v>
      </c>
      <c r="G22" s="5">
        <v>86.43</v>
      </c>
    </row>
    <row r="23" spans="1:7" ht="25" x14ac:dyDescent="0.25">
      <c r="A23" s="5" t="s">
        <v>44</v>
      </c>
      <c r="B23" s="5" t="s">
        <v>14</v>
      </c>
      <c r="C23" s="5" t="s">
        <v>36</v>
      </c>
      <c r="D23" s="5" t="s">
        <v>41</v>
      </c>
      <c r="E23" s="5">
        <v>74</v>
      </c>
      <c r="F23" s="5">
        <v>15.99</v>
      </c>
      <c r="G23" s="5">
        <v>1183.26</v>
      </c>
    </row>
    <row r="24" spans="1:7" ht="25" x14ac:dyDescent="0.25">
      <c r="A24" s="5" t="s">
        <v>45</v>
      </c>
      <c r="B24" s="5" t="s">
        <v>18</v>
      </c>
      <c r="C24" s="5" t="s">
        <v>23</v>
      </c>
      <c r="D24" s="5" t="s">
        <v>20</v>
      </c>
      <c r="E24" s="5">
        <v>46</v>
      </c>
      <c r="F24" s="5">
        <v>8.99</v>
      </c>
      <c r="G24" s="5">
        <v>413.54</v>
      </c>
    </row>
    <row r="25" spans="1:7" ht="25" x14ac:dyDescent="0.25">
      <c r="A25" s="4">
        <v>45659</v>
      </c>
      <c r="B25" s="5" t="s">
        <v>18</v>
      </c>
      <c r="C25" s="5" t="s">
        <v>38</v>
      </c>
      <c r="D25" s="5" t="s">
        <v>20</v>
      </c>
      <c r="E25" s="5">
        <v>87</v>
      </c>
      <c r="F25" s="5">
        <v>15</v>
      </c>
      <c r="G25" s="5">
        <v>1305</v>
      </c>
    </row>
    <row r="26" spans="1:7" ht="25" x14ac:dyDescent="0.25">
      <c r="A26" s="5" t="s">
        <v>46</v>
      </c>
      <c r="B26" s="5" t="s">
        <v>14</v>
      </c>
      <c r="C26" s="5" t="s">
        <v>15</v>
      </c>
      <c r="D26" s="5" t="s">
        <v>20</v>
      </c>
      <c r="E26" s="5">
        <v>4</v>
      </c>
      <c r="F26" s="5">
        <v>4.99</v>
      </c>
      <c r="G26" s="5">
        <v>19.96</v>
      </c>
    </row>
    <row r="27" spans="1:7" ht="25" x14ac:dyDescent="0.25">
      <c r="A27" s="4">
        <v>45841</v>
      </c>
      <c r="B27" s="5" t="s">
        <v>26</v>
      </c>
      <c r="C27" s="5" t="s">
        <v>27</v>
      </c>
      <c r="D27" s="5" t="s">
        <v>20</v>
      </c>
      <c r="E27" s="5">
        <v>7</v>
      </c>
      <c r="F27" s="5">
        <v>19.989999999999998</v>
      </c>
      <c r="G27" s="5">
        <v>139.93</v>
      </c>
    </row>
    <row r="28" spans="1:7" ht="25" x14ac:dyDescent="0.25">
      <c r="A28" s="5" t="s">
        <v>47</v>
      </c>
      <c r="B28" s="5" t="s">
        <v>18</v>
      </c>
      <c r="C28" s="5" t="s">
        <v>21</v>
      </c>
      <c r="D28" s="5" t="s">
        <v>41</v>
      </c>
      <c r="E28" s="5">
        <v>50</v>
      </c>
      <c r="F28" s="5">
        <v>4.99</v>
      </c>
      <c r="G28" s="5">
        <v>249.5</v>
      </c>
    </row>
    <row r="29" spans="1:7" ht="25" x14ac:dyDescent="0.25">
      <c r="A29" s="4">
        <v>45934</v>
      </c>
      <c r="B29" s="5" t="s">
        <v>18</v>
      </c>
      <c r="C29" s="5" t="s">
        <v>29</v>
      </c>
      <c r="D29" s="5" t="s">
        <v>16</v>
      </c>
      <c r="E29" s="5">
        <v>66</v>
      </c>
      <c r="F29" s="5">
        <v>1.99</v>
      </c>
      <c r="G29" s="5">
        <v>131.34</v>
      </c>
    </row>
    <row r="30" spans="1:7" ht="25" x14ac:dyDescent="0.25">
      <c r="A30" s="5" t="s">
        <v>48</v>
      </c>
      <c r="B30" s="5" t="s">
        <v>14</v>
      </c>
      <c r="C30" s="5" t="s">
        <v>34</v>
      </c>
      <c r="D30" s="5" t="s">
        <v>24</v>
      </c>
      <c r="E30" s="5">
        <v>96</v>
      </c>
      <c r="F30" s="5">
        <v>4.99</v>
      </c>
      <c r="G30" s="5">
        <v>479.04</v>
      </c>
    </row>
    <row r="31" spans="1:7" ht="25" x14ac:dyDescent="0.25">
      <c r="A31" s="5" t="s">
        <v>49</v>
      </c>
      <c r="B31" s="5" t="s">
        <v>18</v>
      </c>
      <c r="C31" s="5" t="s">
        <v>23</v>
      </c>
      <c r="D31" s="5" t="s">
        <v>16</v>
      </c>
      <c r="E31" s="5">
        <v>53</v>
      </c>
      <c r="F31" s="5">
        <v>1.29</v>
      </c>
      <c r="G31" s="5">
        <v>68.37</v>
      </c>
    </row>
    <row r="32" spans="1:7" ht="25" x14ac:dyDescent="0.25">
      <c r="A32" s="5" t="s">
        <v>50</v>
      </c>
      <c r="B32" s="5" t="s">
        <v>18</v>
      </c>
      <c r="C32" s="5" t="s">
        <v>23</v>
      </c>
      <c r="D32" s="5" t="s">
        <v>20</v>
      </c>
      <c r="E32" s="5">
        <v>80</v>
      </c>
      <c r="F32" s="5">
        <v>8.99</v>
      </c>
      <c r="G32" s="5">
        <v>719.2</v>
      </c>
    </row>
    <row r="33" spans="1:7" ht="25" x14ac:dyDescent="0.25">
      <c r="A33" s="5" t="s">
        <v>51</v>
      </c>
      <c r="B33" s="5" t="s">
        <v>18</v>
      </c>
      <c r="C33" s="5" t="s">
        <v>19</v>
      </c>
      <c r="D33" s="5" t="s">
        <v>39</v>
      </c>
      <c r="E33" s="5">
        <v>5</v>
      </c>
      <c r="F33" s="5">
        <v>125</v>
      </c>
      <c r="G33" s="5">
        <v>625</v>
      </c>
    </row>
    <row r="34" spans="1:7" ht="25" x14ac:dyDescent="0.25">
      <c r="A34" s="4">
        <v>45754</v>
      </c>
      <c r="B34" s="5" t="s">
        <v>14</v>
      </c>
      <c r="C34" s="5" t="s">
        <v>15</v>
      </c>
      <c r="D34" s="5" t="s">
        <v>41</v>
      </c>
      <c r="E34" s="5">
        <v>62</v>
      </c>
      <c r="F34" s="5">
        <v>4.99</v>
      </c>
      <c r="G34" s="5">
        <v>309.38</v>
      </c>
    </row>
    <row r="35" spans="1:7" ht="25" x14ac:dyDescent="0.25">
      <c r="A35" s="5" t="s">
        <v>52</v>
      </c>
      <c r="B35" s="5" t="s">
        <v>18</v>
      </c>
      <c r="C35" s="5" t="s">
        <v>33</v>
      </c>
      <c r="D35" s="5" t="s">
        <v>41</v>
      </c>
      <c r="E35" s="5">
        <v>55</v>
      </c>
      <c r="F35" s="5">
        <v>12.49</v>
      </c>
      <c r="G35" s="5">
        <v>686.95</v>
      </c>
    </row>
    <row r="36" spans="1:7" ht="25" x14ac:dyDescent="0.25">
      <c r="A36" s="4">
        <v>45846</v>
      </c>
      <c r="B36" s="5" t="s">
        <v>18</v>
      </c>
      <c r="C36" s="5" t="s">
        <v>19</v>
      </c>
      <c r="D36" s="5" t="s">
        <v>41</v>
      </c>
      <c r="E36" s="5">
        <v>42</v>
      </c>
      <c r="F36" s="5">
        <v>23.95</v>
      </c>
      <c r="G36" s="5">
        <v>1005.9</v>
      </c>
    </row>
    <row r="37" spans="1:7" ht="25" x14ac:dyDescent="0.25">
      <c r="A37" s="5" t="s">
        <v>53</v>
      </c>
      <c r="B37" s="5" t="s">
        <v>26</v>
      </c>
      <c r="C37" s="5" t="s">
        <v>27</v>
      </c>
      <c r="D37" s="5" t="s">
        <v>39</v>
      </c>
      <c r="E37" s="5">
        <v>3</v>
      </c>
      <c r="F37" s="5">
        <v>275</v>
      </c>
      <c r="G37" s="5">
        <v>825</v>
      </c>
    </row>
    <row r="38" spans="1:7" ht="25" x14ac:dyDescent="0.25">
      <c r="A38" s="4">
        <v>45939</v>
      </c>
      <c r="B38" s="5" t="s">
        <v>18</v>
      </c>
      <c r="C38" s="5" t="s">
        <v>23</v>
      </c>
      <c r="D38" s="5" t="s">
        <v>16</v>
      </c>
      <c r="E38" s="5">
        <v>7</v>
      </c>
      <c r="F38" s="5">
        <v>1.29</v>
      </c>
      <c r="G38" s="5">
        <v>9.0299999999999994</v>
      </c>
    </row>
    <row r="39" spans="1:7" ht="25" x14ac:dyDescent="0.25">
      <c r="A39" s="5" t="s">
        <v>54</v>
      </c>
      <c r="B39" s="5" t="s">
        <v>26</v>
      </c>
      <c r="C39" s="5" t="s">
        <v>27</v>
      </c>
      <c r="D39" s="5" t="s">
        <v>24</v>
      </c>
      <c r="E39" s="5">
        <v>76</v>
      </c>
      <c r="F39" s="5">
        <v>1.99</v>
      </c>
      <c r="G39" s="5">
        <v>151.24</v>
      </c>
    </row>
    <row r="40" spans="1:7" ht="25" x14ac:dyDescent="0.25">
      <c r="A40" s="5" t="s">
        <v>55</v>
      </c>
      <c r="B40" s="5" t="s">
        <v>26</v>
      </c>
      <c r="C40" s="5" t="s">
        <v>31</v>
      </c>
      <c r="D40" s="5" t="s">
        <v>20</v>
      </c>
      <c r="E40" s="5">
        <v>57</v>
      </c>
      <c r="F40" s="5">
        <v>19.989999999999998</v>
      </c>
      <c r="G40" s="5">
        <v>1139.43</v>
      </c>
    </row>
    <row r="41" spans="1:7" ht="25" x14ac:dyDescent="0.25">
      <c r="A41" s="5" t="s">
        <v>56</v>
      </c>
      <c r="B41" s="5" t="s">
        <v>18</v>
      </c>
      <c r="C41" s="5" t="s">
        <v>29</v>
      </c>
      <c r="D41" s="5" t="s">
        <v>16</v>
      </c>
      <c r="E41" s="5">
        <v>14</v>
      </c>
      <c r="F41" s="5">
        <v>1.29</v>
      </c>
      <c r="G41" s="5">
        <v>18.059999999999999</v>
      </c>
    </row>
    <row r="42" spans="1:7" ht="25" x14ac:dyDescent="0.25">
      <c r="A42" s="5" t="s">
        <v>57</v>
      </c>
      <c r="B42" s="5" t="s">
        <v>18</v>
      </c>
      <c r="C42" s="5" t="s">
        <v>21</v>
      </c>
      <c r="D42" s="5" t="s">
        <v>20</v>
      </c>
      <c r="E42" s="5">
        <v>11</v>
      </c>
      <c r="F42" s="5">
        <v>4.99</v>
      </c>
      <c r="G42" s="5">
        <v>54.89</v>
      </c>
    </row>
    <row r="43" spans="1:7" ht="25" x14ac:dyDescent="0.25">
      <c r="A43" s="4">
        <v>45759</v>
      </c>
      <c r="B43" s="5" t="s">
        <v>18</v>
      </c>
      <c r="C43" s="5" t="s">
        <v>21</v>
      </c>
      <c r="D43" s="5" t="s">
        <v>20</v>
      </c>
      <c r="E43" s="5">
        <v>94</v>
      </c>
      <c r="F43" s="5">
        <v>19.989999999999998</v>
      </c>
      <c r="G43" s="5">
        <v>1879.06</v>
      </c>
    </row>
    <row r="44" spans="1:7" ht="25" x14ac:dyDescent="0.25">
      <c r="A44" s="5" t="s">
        <v>58</v>
      </c>
      <c r="B44" s="5" t="s">
        <v>18</v>
      </c>
      <c r="C44" s="5" t="s">
        <v>29</v>
      </c>
      <c r="D44" s="5" t="s">
        <v>20</v>
      </c>
      <c r="E44" s="5">
        <v>28</v>
      </c>
      <c r="F44" s="5">
        <v>4.99</v>
      </c>
      <c r="G44" s="5">
        <v>139.72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9A65-171C-8A45-8A86-DC9ACA1301C8}">
  <dimension ref="A1:K44"/>
  <sheetViews>
    <sheetView topLeftCell="A2" zoomScale="90" zoomScaleNormal="90" workbookViewId="0">
      <selection activeCell="A17" sqref="A1:I44"/>
    </sheetView>
  </sheetViews>
  <sheetFormatPr baseColWidth="10" defaultRowHeight="16" x14ac:dyDescent="0.2"/>
  <cols>
    <col min="1" max="1" width="20.1640625" style="3" customWidth="1"/>
    <col min="6" max="6" width="12.83203125" customWidth="1"/>
    <col min="8" max="8" width="13.33203125" customWidth="1"/>
  </cols>
  <sheetData>
    <row r="1" spans="1:9" ht="21" x14ac:dyDescent="0.2">
      <c r="A1" s="7" t="s">
        <v>7</v>
      </c>
      <c r="B1" s="8" t="s">
        <v>8</v>
      </c>
      <c r="C1" s="8" t="s">
        <v>9</v>
      </c>
      <c r="D1" s="9" t="s">
        <v>10</v>
      </c>
      <c r="E1" s="10" t="s">
        <v>11</v>
      </c>
      <c r="F1" s="9" t="s">
        <v>59</v>
      </c>
      <c r="G1" s="11" t="s">
        <v>13</v>
      </c>
      <c r="H1" s="12" t="s">
        <v>60</v>
      </c>
      <c r="I1" s="28" t="s">
        <v>64</v>
      </c>
    </row>
    <row r="2" spans="1:9" ht="21" x14ac:dyDescent="0.2">
      <c r="A2" s="13">
        <v>45297</v>
      </c>
      <c r="B2" s="14" t="s">
        <v>14</v>
      </c>
      <c r="C2" s="14" t="s">
        <v>15</v>
      </c>
      <c r="D2" s="15" t="s">
        <v>16</v>
      </c>
      <c r="E2" s="16">
        <v>95</v>
      </c>
      <c r="F2" s="17">
        <v>1.99</v>
      </c>
      <c r="G2" s="18">
        <v>189.05</v>
      </c>
      <c r="H2" s="19">
        <f t="shared" ref="H2:H44" si="0">E2 * F2</f>
        <v>189.05</v>
      </c>
      <c r="I2" s="19" t="str">
        <f>IF(sales_clean_data[[#This Row],[Total]]=sales_clean_data[[#This Row],[Calculated Total]],"Correct","Error")</f>
        <v>Correct</v>
      </c>
    </row>
    <row r="3" spans="1:9" ht="21" x14ac:dyDescent="0.2">
      <c r="A3" s="13">
        <v>45314</v>
      </c>
      <c r="B3" s="14" t="s">
        <v>18</v>
      </c>
      <c r="C3" s="14" t="s">
        <v>19</v>
      </c>
      <c r="D3" s="15" t="s">
        <v>20</v>
      </c>
      <c r="E3" s="16">
        <v>50</v>
      </c>
      <c r="F3" s="17">
        <v>19.989999999999998</v>
      </c>
      <c r="G3" s="18">
        <v>999.5</v>
      </c>
      <c r="H3" s="19">
        <f t="shared" si="0"/>
        <v>999.49999999999989</v>
      </c>
      <c r="I3" s="19" t="str">
        <f>IF(sales_clean_data[[#This Row],[Total]]=sales_clean_data[[#This Row],[Calculated Total]],"Correct","Error")</f>
        <v>Correct</v>
      </c>
    </row>
    <row r="4" spans="1:9" ht="21" x14ac:dyDescent="0.2">
      <c r="A4" s="13">
        <v>45331</v>
      </c>
      <c r="B4" s="14" t="s">
        <v>18</v>
      </c>
      <c r="C4" s="14" t="s">
        <v>21</v>
      </c>
      <c r="D4" s="15" t="s">
        <v>16</v>
      </c>
      <c r="E4" s="16">
        <v>36</v>
      </c>
      <c r="F4" s="17">
        <v>4.99</v>
      </c>
      <c r="G4" s="18">
        <v>179.64</v>
      </c>
      <c r="H4" s="19">
        <f t="shared" si="0"/>
        <v>179.64000000000001</v>
      </c>
      <c r="I4" s="19" t="str">
        <f>IF(sales_clean_data[[#This Row],[Total]]=sales_clean_data[[#This Row],[Calculated Total]],"Correct","Error")</f>
        <v>Correct</v>
      </c>
    </row>
    <row r="5" spans="1:9" ht="21" x14ac:dyDescent="0.2">
      <c r="A5" s="13">
        <v>45348</v>
      </c>
      <c r="B5" s="14" t="s">
        <v>18</v>
      </c>
      <c r="C5" s="14" t="s">
        <v>23</v>
      </c>
      <c r="D5" s="15" t="s">
        <v>24</v>
      </c>
      <c r="E5" s="16">
        <v>27</v>
      </c>
      <c r="F5" s="17">
        <v>19.989999999999998</v>
      </c>
      <c r="G5" s="18">
        <v>539.73</v>
      </c>
      <c r="H5" s="19">
        <f t="shared" si="0"/>
        <v>539.7299999999999</v>
      </c>
      <c r="I5" s="19" t="str">
        <f>IF(sales_clean_data[[#This Row],[Total]]=sales_clean_data[[#This Row],[Calculated Total]],"Correct","Error")</f>
        <v>Correct</v>
      </c>
    </row>
    <row r="6" spans="1:9" ht="21" x14ac:dyDescent="0.2">
      <c r="A6" s="13">
        <v>45366</v>
      </c>
      <c r="B6" s="14" t="s">
        <v>26</v>
      </c>
      <c r="C6" s="14" t="s">
        <v>27</v>
      </c>
      <c r="D6" s="15" t="s">
        <v>16</v>
      </c>
      <c r="E6" s="16">
        <v>56</v>
      </c>
      <c r="F6" s="17">
        <v>2.99</v>
      </c>
      <c r="G6" s="18">
        <v>167.44</v>
      </c>
      <c r="H6" s="19">
        <f t="shared" si="0"/>
        <v>167.44</v>
      </c>
      <c r="I6" s="19" t="str">
        <f>IF(sales_clean_data[[#This Row],[Total]]=sales_clean_data[[#This Row],[Calculated Total]],"Correct","Error")</f>
        <v>Correct</v>
      </c>
    </row>
    <row r="7" spans="1:9" ht="21" x14ac:dyDescent="0.2">
      <c r="A7" s="13">
        <v>45383</v>
      </c>
      <c r="B7" s="14" t="s">
        <v>14</v>
      </c>
      <c r="C7" s="14" t="s">
        <v>15</v>
      </c>
      <c r="D7" s="15" t="s">
        <v>20</v>
      </c>
      <c r="E7" s="16">
        <v>60</v>
      </c>
      <c r="F7" s="17">
        <v>4.99</v>
      </c>
      <c r="G7" s="18">
        <v>299.39999999999998</v>
      </c>
      <c r="H7" s="19">
        <f t="shared" si="0"/>
        <v>299.40000000000003</v>
      </c>
      <c r="I7" s="19" t="str">
        <f>IF(sales_clean_data[[#This Row],[Total]]=sales_clean_data[[#This Row],[Calculated Total]],"Correct","Error")</f>
        <v>Correct</v>
      </c>
    </row>
    <row r="8" spans="1:9" ht="21" x14ac:dyDescent="0.2">
      <c r="A8" s="13">
        <v>45400</v>
      </c>
      <c r="B8" s="14" t="s">
        <v>18</v>
      </c>
      <c r="C8" s="14" t="s">
        <v>29</v>
      </c>
      <c r="D8" s="15" t="s">
        <v>16</v>
      </c>
      <c r="E8" s="16">
        <v>75</v>
      </c>
      <c r="F8" s="17">
        <v>1.99</v>
      </c>
      <c r="G8" s="18">
        <v>149.25</v>
      </c>
      <c r="H8" s="19">
        <f t="shared" si="0"/>
        <v>149.25</v>
      </c>
      <c r="I8" s="19" t="str">
        <f>IF(sales_clean_data[[#This Row],[Total]]=sales_clean_data[[#This Row],[Calculated Total]],"Correct","Error")</f>
        <v>Correct</v>
      </c>
    </row>
    <row r="9" spans="1:9" ht="21" x14ac:dyDescent="0.2">
      <c r="A9" s="13">
        <v>45417</v>
      </c>
      <c r="B9" s="14" t="s">
        <v>18</v>
      </c>
      <c r="C9" s="14" t="s">
        <v>21</v>
      </c>
      <c r="D9" s="15" t="s">
        <v>16</v>
      </c>
      <c r="E9" s="16">
        <v>90</v>
      </c>
      <c r="F9" s="17">
        <v>4.99</v>
      </c>
      <c r="G9" s="18">
        <v>449.1</v>
      </c>
      <c r="H9" s="19">
        <f t="shared" si="0"/>
        <v>449.1</v>
      </c>
      <c r="I9" s="19" t="str">
        <f>IF(sales_clean_data[[#This Row],[Total]]=sales_clean_data[[#This Row],[Calculated Total]],"Correct","Error")</f>
        <v>Correct</v>
      </c>
    </row>
    <row r="10" spans="1:9" ht="21" x14ac:dyDescent="0.2">
      <c r="A10" s="13">
        <v>45434</v>
      </c>
      <c r="B10" s="14" t="s">
        <v>26</v>
      </c>
      <c r="C10" s="14" t="s">
        <v>31</v>
      </c>
      <c r="D10" s="15" t="s">
        <v>16</v>
      </c>
      <c r="E10" s="16">
        <v>32</v>
      </c>
      <c r="F10" s="17">
        <v>1.99</v>
      </c>
      <c r="G10" s="18">
        <v>63.68</v>
      </c>
      <c r="H10" s="19">
        <f t="shared" si="0"/>
        <v>63.68</v>
      </c>
      <c r="I10" s="19" t="str">
        <f>IF(sales_clean_data[[#This Row],[Total]]=sales_clean_data[[#This Row],[Calculated Total]],"Correct","Error")</f>
        <v>Correct</v>
      </c>
    </row>
    <row r="11" spans="1:9" ht="21" x14ac:dyDescent="0.2">
      <c r="A11" s="13">
        <v>45451</v>
      </c>
      <c r="B11" s="14" t="s">
        <v>14</v>
      </c>
      <c r="C11" s="14" t="s">
        <v>15</v>
      </c>
      <c r="D11" s="15" t="s">
        <v>20</v>
      </c>
      <c r="E11" s="16">
        <v>60</v>
      </c>
      <c r="F11" s="17">
        <v>8.99</v>
      </c>
      <c r="G11" s="18">
        <v>539.4</v>
      </c>
      <c r="H11" s="19">
        <f t="shared" si="0"/>
        <v>539.4</v>
      </c>
      <c r="I11" s="19" t="str">
        <f>IF(sales_clean_data[[#This Row],[Total]]=sales_clean_data[[#This Row],[Calculated Total]],"Correct","Error")</f>
        <v>Correct</v>
      </c>
    </row>
    <row r="12" spans="1:9" ht="21" x14ac:dyDescent="0.2">
      <c r="A12" s="13">
        <v>45468</v>
      </c>
      <c r="B12" s="14" t="s">
        <v>18</v>
      </c>
      <c r="C12" s="14" t="s">
        <v>33</v>
      </c>
      <c r="D12" s="15" t="s">
        <v>16</v>
      </c>
      <c r="E12" s="16">
        <v>90</v>
      </c>
      <c r="F12" s="17">
        <v>4.99</v>
      </c>
      <c r="G12" s="18">
        <v>449.1</v>
      </c>
      <c r="H12" s="19">
        <f t="shared" si="0"/>
        <v>449.1</v>
      </c>
      <c r="I12" s="19" t="str">
        <f>IF(sales_clean_data[[#This Row],[Total]]=sales_clean_data[[#This Row],[Calculated Total]],"Correct","Error")</f>
        <v>Correct</v>
      </c>
    </row>
    <row r="13" spans="1:9" ht="21" x14ac:dyDescent="0.2">
      <c r="A13" s="13">
        <v>45485</v>
      </c>
      <c r="B13" s="14" t="s">
        <v>14</v>
      </c>
      <c r="C13" s="14" t="s">
        <v>34</v>
      </c>
      <c r="D13" s="15" t="s">
        <v>20</v>
      </c>
      <c r="E13" s="16">
        <v>29</v>
      </c>
      <c r="F13" s="17">
        <v>1.99</v>
      </c>
      <c r="G13" s="18">
        <v>57.71</v>
      </c>
      <c r="H13" s="19">
        <f t="shared" si="0"/>
        <v>57.71</v>
      </c>
      <c r="I13" s="19" t="str">
        <f>IF(sales_clean_data[[#This Row],[Total]]=sales_clean_data[[#This Row],[Calculated Total]],"Correct","Error")</f>
        <v>Correct</v>
      </c>
    </row>
    <row r="14" spans="1:9" ht="21" x14ac:dyDescent="0.2">
      <c r="A14" s="13">
        <v>45502</v>
      </c>
      <c r="B14" s="14" t="s">
        <v>14</v>
      </c>
      <c r="C14" s="14" t="s">
        <v>36</v>
      </c>
      <c r="D14" s="15" t="s">
        <v>20</v>
      </c>
      <c r="E14" s="16">
        <v>81</v>
      </c>
      <c r="F14" s="17">
        <v>19.989999999999998</v>
      </c>
      <c r="G14" s="18">
        <v>1619.19</v>
      </c>
      <c r="H14" s="19">
        <f t="shared" si="0"/>
        <v>1619.1899999999998</v>
      </c>
      <c r="I14" s="19" t="str">
        <f>IF(sales_clean_data[[#This Row],[Total]]=sales_clean_data[[#This Row],[Calculated Total]],"Correct","Error")</f>
        <v>Correct</v>
      </c>
    </row>
    <row r="15" spans="1:9" ht="21" x14ac:dyDescent="0.2">
      <c r="A15" s="13">
        <v>45519</v>
      </c>
      <c r="B15" s="14" t="s">
        <v>14</v>
      </c>
      <c r="C15" s="14" t="s">
        <v>15</v>
      </c>
      <c r="D15" s="15" t="s">
        <v>16</v>
      </c>
      <c r="E15" s="16">
        <v>35</v>
      </c>
      <c r="F15" s="17">
        <v>4.99</v>
      </c>
      <c r="G15" s="18">
        <v>174.65</v>
      </c>
      <c r="H15" s="19">
        <f t="shared" si="0"/>
        <v>174.65</v>
      </c>
      <c r="I15" s="19" t="str">
        <f>IF(sales_clean_data[[#This Row],[Total]]=sales_clean_data[[#This Row],[Calculated Total]],"Correct","Error")</f>
        <v>Correct</v>
      </c>
    </row>
    <row r="16" spans="1:9" ht="21" x14ac:dyDescent="0.2">
      <c r="A16" s="13">
        <v>45536</v>
      </c>
      <c r="B16" s="14" t="s">
        <v>18</v>
      </c>
      <c r="C16" s="14" t="s">
        <v>38</v>
      </c>
      <c r="D16" s="15" t="s">
        <v>39</v>
      </c>
      <c r="E16" s="16">
        <v>2</v>
      </c>
      <c r="F16" s="17">
        <v>125</v>
      </c>
      <c r="G16" s="18">
        <v>250</v>
      </c>
      <c r="H16" s="19">
        <f t="shared" si="0"/>
        <v>250</v>
      </c>
      <c r="I16" s="19" t="str">
        <f>IF(sales_clean_data[[#This Row],[Total]]=sales_clean_data[[#This Row],[Calculated Total]],"Correct","Error")</f>
        <v>Correct</v>
      </c>
    </row>
    <row r="17" spans="1:11" ht="21" x14ac:dyDescent="0.2">
      <c r="A17" s="13">
        <v>45553</v>
      </c>
      <c r="B17" s="14" t="s">
        <v>14</v>
      </c>
      <c r="C17" s="14" t="s">
        <v>15</v>
      </c>
      <c r="D17" s="15" t="s">
        <v>41</v>
      </c>
      <c r="E17" s="16">
        <v>16</v>
      </c>
      <c r="F17" s="17">
        <v>15.99</v>
      </c>
      <c r="G17" s="18">
        <v>255.84</v>
      </c>
      <c r="H17" s="19">
        <f t="shared" si="0"/>
        <v>255.84</v>
      </c>
      <c r="I17" s="19" t="str">
        <f>IF(sales_clean_data[[#This Row],[Total]]=sales_clean_data[[#This Row],[Calculated Total]],"Correct","Error")</f>
        <v>Correct</v>
      </c>
    </row>
    <row r="18" spans="1:11" ht="21" x14ac:dyDescent="0.2">
      <c r="A18" s="13">
        <v>45570</v>
      </c>
      <c r="B18" s="14" t="s">
        <v>18</v>
      </c>
      <c r="C18" s="14" t="s">
        <v>33</v>
      </c>
      <c r="D18" s="15" t="s">
        <v>20</v>
      </c>
      <c r="E18" s="16">
        <v>28</v>
      </c>
      <c r="F18" s="17">
        <v>8.99</v>
      </c>
      <c r="G18" s="18">
        <v>251.72</v>
      </c>
      <c r="H18" s="19">
        <f t="shared" si="0"/>
        <v>251.72</v>
      </c>
      <c r="I18" s="19" t="str">
        <f>IF(sales_clean_data[[#This Row],[Total]]=sales_clean_data[[#This Row],[Calculated Total]],"Correct","Error")</f>
        <v>Correct</v>
      </c>
    </row>
    <row r="19" spans="1:11" ht="21" x14ac:dyDescent="0.2">
      <c r="A19" s="13">
        <v>45587</v>
      </c>
      <c r="B19" s="14" t="s">
        <v>14</v>
      </c>
      <c r="C19" s="14" t="s">
        <v>15</v>
      </c>
      <c r="D19" s="15" t="s">
        <v>24</v>
      </c>
      <c r="E19" s="16">
        <v>64</v>
      </c>
      <c r="F19" s="17">
        <v>8.99</v>
      </c>
      <c r="G19" s="18">
        <v>575.36</v>
      </c>
      <c r="H19" s="19">
        <f t="shared" si="0"/>
        <v>575.36</v>
      </c>
      <c r="I19" s="19" t="str">
        <f>IF(sales_clean_data[[#This Row],[Total]]=sales_clean_data[[#This Row],[Calculated Total]],"Correct","Error")</f>
        <v>Correct</v>
      </c>
    </row>
    <row r="20" spans="1:11" ht="21" x14ac:dyDescent="0.2">
      <c r="A20" s="13">
        <v>45604</v>
      </c>
      <c r="B20" s="14" t="s">
        <v>14</v>
      </c>
      <c r="C20" s="14" t="s">
        <v>36</v>
      </c>
      <c r="D20" s="15" t="s">
        <v>24</v>
      </c>
      <c r="E20" s="16">
        <v>15</v>
      </c>
      <c r="F20" s="17">
        <v>19.989999999999998</v>
      </c>
      <c r="G20" s="18">
        <v>299.85000000000002</v>
      </c>
      <c r="H20" s="19">
        <f t="shared" si="0"/>
        <v>299.84999999999997</v>
      </c>
      <c r="I20" s="19" t="str">
        <f>IF(sales_clean_data[[#This Row],[Total]]=sales_clean_data[[#This Row],[Calculated Total]],"Correct","Error")</f>
        <v>Correct</v>
      </c>
    </row>
    <row r="21" spans="1:11" ht="21" x14ac:dyDescent="0.2">
      <c r="A21" s="13">
        <v>45621</v>
      </c>
      <c r="B21" s="14" t="s">
        <v>18</v>
      </c>
      <c r="C21" s="14" t="s">
        <v>19</v>
      </c>
      <c r="D21" s="15" t="s">
        <v>41</v>
      </c>
      <c r="E21" s="16">
        <v>96</v>
      </c>
      <c r="F21" s="17">
        <v>4.99</v>
      </c>
      <c r="G21" s="18">
        <v>479.04</v>
      </c>
      <c r="H21" s="19">
        <f t="shared" si="0"/>
        <v>479.04</v>
      </c>
      <c r="I21" s="19" t="str">
        <f>IF(sales_clean_data[[#This Row],[Total]]=sales_clean_data[[#This Row],[Calculated Total]],"Correct","Error")</f>
        <v>Correct</v>
      </c>
    </row>
    <row r="22" spans="1:11" ht="21" x14ac:dyDescent="0.2">
      <c r="A22" s="13">
        <v>45638</v>
      </c>
      <c r="B22" s="14" t="s">
        <v>18</v>
      </c>
      <c r="C22" s="14" t="s">
        <v>38</v>
      </c>
      <c r="D22" s="15" t="s">
        <v>16</v>
      </c>
      <c r="E22" s="16">
        <v>67</v>
      </c>
      <c r="F22" s="17">
        <v>1.29</v>
      </c>
      <c r="G22" s="18">
        <v>86.43</v>
      </c>
      <c r="H22" s="19">
        <f t="shared" si="0"/>
        <v>86.43</v>
      </c>
      <c r="I22" s="19" t="str">
        <f>IF(sales_clean_data[[#This Row],[Total]]=sales_clean_data[[#This Row],[Calculated Total]],"Correct","Error")</f>
        <v>Correct</v>
      </c>
    </row>
    <row r="23" spans="1:11" ht="21" x14ac:dyDescent="0.2">
      <c r="A23" s="13">
        <v>45655</v>
      </c>
      <c r="B23" s="14" t="s">
        <v>14</v>
      </c>
      <c r="C23" s="14" t="s">
        <v>36</v>
      </c>
      <c r="D23" s="15" t="s">
        <v>41</v>
      </c>
      <c r="E23" s="16">
        <v>74</v>
      </c>
      <c r="F23" s="17">
        <v>15.99</v>
      </c>
      <c r="G23" s="18">
        <v>1183.26</v>
      </c>
      <c r="H23" s="19">
        <f t="shared" si="0"/>
        <v>1183.26</v>
      </c>
      <c r="I23" s="19" t="str">
        <f>IF(sales_clean_data[[#This Row],[Total]]=sales_clean_data[[#This Row],[Calculated Total]],"Correct","Error")</f>
        <v>Correct</v>
      </c>
    </row>
    <row r="24" spans="1:11" ht="21" x14ac:dyDescent="0.2">
      <c r="A24" s="13">
        <v>45672</v>
      </c>
      <c r="B24" s="14" t="s">
        <v>18</v>
      </c>
      <c r="C24" s="14" t="s">
        <v>23</v>
      </c>
      <c r="D24" s="15" t="s">
        <v>20</v>
      </c>
      <c r="E24" s="16">
        <v>46</v>
      </c>
      <c r="F24" s="17">
        <v>8.99</v>
      </c>
      <c r="G24" s="18">
        <v>413.54</v>
      </c>
      <c r="H24" s="19">
        <f t="shared" si="0"/>
        <v>413.54</v>
      </c>
      <c r="I24" s="19" t="str">
        <f>IF(sales_clean_data[[#This Row],[Total]]=sales_clean_data[[#This Row],[Calculated Total]],"Correct","Error")</f>
        <v>Correct</v>
      </c>
    </row>
    <row r="25" spans="1:11" ht="21" x14ac:dyDescent="0.2">
      <c r="A25" s="13">
        <v>45689</v>
      </c>
      <c r="B25" s="14" t="s">
        <v>18</v>
      </c>
      <c r="C25" s="14" t="s">
        <v>38</v>
      </c>
      <c r="D25" s="15" t="s">
        <v>20</v>
      </c>
      <c r="E25" s="16">
        <v>87</v>
      </c>
      <c r="F25" s="17">
        <v>15</v>
      </c>
      <c r="G25" s="18">
        <v>1305</v>
      </c>
      <c r="H25" s="19">
        <f t="shared" si="0"/>
        <v>1305</v>
      </c>
      <c r="I25" s="19" t="str">
        <f>IF(sales_clean_data[[#This Row],[Total]]=sales_clean_data[[#This Row],[Calculated Total]],"Correct","Error")</f>
        <v>Correct</v>
      </c>
    </row>
    <row r="26" spans="1:11" ht="21" x14ac:dyDescent="0.2">
      <c r="A26" s="13">
        <v>45706</v>
      </c>
      <c r="B26" s="14" t="s">
        <v>14</v>
      </c>
      <c r="C26" s="14" t="s">
        <v>15</v>
      </c>
      <c r="D26" s="15" t="s">
        <v>20</v>
      </c>
      <c r="E26" s="16">
        <v>4</v>
      </c>
      <c r="F26" s="17">
        <v>4.99</v>
      </c>
      <c r="G26" s="18">
        <v>19.96</v>
      </c>
      <c r="H26" s="19">
        <f t="shared" si="0"/>
        <v>19.96</v>
      </c>
      <c r="I26" s="19" t="str">
        <f>IF(sales_clean_data[[#This Row],[Total]]=sales_clean_data[[#This Row],[Calculated Total]],"Correct","Error")</f>
        <v>Correct</v>
      </c>
    </row>
    <row r="27" spans="1:11" ht="21" x14ac:dyDescent="0.2">
      <c r="A27" s="13">
        <v>45723</v>
      </c>
      <c r="B27" s="14" t="s">
        <v>26</v>
      </c>
      <c r="C27" s="14" t="s">
        <v>27</v>
      </c>
      <c r="D27" s="15" t="s">
        <v>20</v>
      </c>
      <c r="E27" s="16">
        <v>7</v>
      </c>
      <c r="F27" s="17">
        <v>19.989999999999998</v>
      </c>
      <c r="G27" s="18">
        <v>139.93</v>
      </c>
      <c r="H27" s="19">
        <f t="shared" si="0"/>
        <v>139.92999999999998</v>
      </c>
      <c r="I27" s="19" t="str">
        <f>IF(sales_clean_data[[#This Row],[Total]]=sales_clean_data[[#This Row],[Calculated Total]],"Correct","Error")</f>
        <v>Correct</v>
      </c>
      <c r="K27" s="6"/>
    </row>
    <row r="28" spans="1:11" ht="21" x14ac:dyDescent="0.2">
      <c r="A28" s="13">
        <v>45740</v>
      </c>
      <c r="B28" s="14" t="s">
        <v>18</v>
      </c>
      <c r="C28" s="14" t="s">
        <v>21</v>
      </c>
      <c r="D28" s="15" t="s">
        <v>41</v>
      </c>
      <c r="E28" s="16">
        <v>50</v>
      </c>
      <c r="F28" s="17">
        <v>4.99</v>
      </c>
      <c r="G28" s="18">
        <v>249.5</v>
      </c>
      <c r="H28" s="19">
        <f t="shared" si="0"/>
        <v>249.5</v>
      </c>
      <c r="I28" s="19" t="str">
        <f>IF(sales_clean_data[[#This Row],[Total]]=sales_clean_data[[#This Row],[Calculated Total]],"Correct","Error")</f>
        <v>Correct</v>
      </c>
    </row>
    <row r="29" spans="1:11" ht="21" x14ac:dyDescent="0.2">
      <c r="A29" s="13">
        <v>45757</v>
      </c>
      <c r="B29" s="14" t="s">
        <v>18</v>
      </c>
      <c r="C29" s="14" t="s">
        <v>29</v>
      </c>
      <c r="D29" s="15" t="s">
        <v>16</v>
      </c>
      <c r="E29" s="16">
        <v>66</v>
      </c>
      <c r="F29" s="17">
        <v>1.99</v>
      </c>
      <c r="G29" s="18">
        <v>131.34</v>
      </c>
      <c r="H29" s="19">
        <f t="shared" si="0"/>
        <v>131.34</v>
      </c>
      <c r="I29" s="19" t="str">
        <f>IF(sales_clean_data[[#This Row],[Total]]=sales_clean_data[[#This Row],[Calculated Total]],"Correct","Error")</f>
        <v>Correct</v>
      </c>
    </row>
    <row r="30" spans="1:11" ht="21" x14ac:dyDescent="0.2">
      <c r="A30" s="13">
        <v>45774</v>
      </c>
      <c r="B30" s="14" t="s">
        <v>14</v>
      </c>
      <c r="C30" s="14" t="s">
        <v>34</v>
      </c>
      <c r="D30" s="15" t="s">
        <v>24</v>
      </c>
      <c r="E30" s="16">
        <v>96</v>
      </c>
      <c r="F30" s="17">
        <v>4.99</v>
      </c>
      <c r="G30" s="18">
        <v>479.04</v>
      </c>
      <c r="H30" s="19">
        <f t="shared" si="0"/>
        <v>479.04</v>
      </c>
      <c r="I30" s="19" t="str">
        <f>IF(sales_clean_data[[#This Row],[Total]]=sales_clean_data[[#This Row],[Calculated Total]],"Correct","Error")</f>
        <v>Correct</v>
      </c>
    </row>
    <row r="31" spans="1:11" ht="21" x14ac:dyDescent="0.2">
      <c r="A31" s="13">
        <v>45791</v>
      </c>
      <c r="B31" s="14" t="s">
        <v>18</v>
      </c>
      <c r="C31" s="14" t="s">
        <v>23</v>
      </c>
      <c r="D31" s="15" t="s">
        <v>16</v>
      </c>
      <c r="E31" s="16">
        <v>53</v>
      </c>
      <c r="F31" s="17">
        <v>1.29</v>
      </c>
      <c r="G31" s="18">
        <v>68.37</v>
      </c>
      <c r="H31" s="19">
        <f t="shared" si="0"/>
        <v>68.37</v>
      </c>
      <c r="I31" s="19" t="str">
        <f>IF(sales_clean_data[[#This Row],[Total]]=sales_clean_data[[#This Row],[Calculated Total]],"Correct","Error")</f>
        <v>Correct</v>
      </c>
    </row>
    <row r="32" spans="1:11" ht="21" x14ac:dyDescent="0.2">
      <c r="A32" s="13">
        <v>45808</v>
      </c>
      <c r="B32" s="14" t="s">
        <v>18</v>
      </c>
      <c r="C32" s="14" t="s">
        <v>23</v>
      </c>
      <c r="D32" s="15" t="s">
        <v>20</v>
      </c>
      <c r="E32" s="16">
        <v>80</v>
      </c>
      <c r="F32" s="17">
        <v>8.99</v>
      </c>
      <c r="G32" s="18">
        <v>719.2</v>
      </c>
      <c r="H32" s="19">
        <f t="shared" si="0"/>
        <v>719.2</v>
      </c>
      <c r="I32" s="19" t="str">
        <f>IF(sales_clean_data[[#This Row],[Total]]=sales_clean_data[[#This Row],[Calculated Total]],"Correct","Error")</f>
        <v>Correct</v>
      </c>
    </row>
    <row r="33" spans="1:9" ht="21" x14ac:dyDescent="0.2">
      <c r="A33" s="13">
        <v>45825</v>
      </c>
      <c r="B33" s="14" t="s">
        <v>18</v>
      </c>
      <c r="C33" s="14" t="s">
        <v>19</v>
      </c>
      <c r="D33" s="15" t="s">
        <v>39</v>
      </c>
      <c r="E33" s="16">
        <v>5</v>
      </c>
      <c r="F33" s="17">
        <v>125</v>
      </c>
      <c r="G33" s="18">
        <v>625</v>
      </c>
      <c r="H33" s="19">
        <f t="shared" si="0"/>
        <v>625</v>
      </c>
      <c r="I33" s="19" t="str">
        <f>IF(sales_clean_data[[#This Row],[Total]]=sales_clean_data[[#This Row],[Calculated Total]],"Correct","Error")</f>
        <v>Correct</v>
      </c>
    </row>
    <row r="34" spans="1:9" ht="21" x14ac:dyDescent="0.2">
      <c r="A34" s="13">
        <v>45842</v>
      </c>
      <c r="B34" s="14" t="s">
        <v>14</v>
      </c>
      <c r="C34" s="14" t="s">
        <v>15</v>
      </c>
      <c r="D34" s="15" t="s">
        <v>41</v>
      </c>
      <c r="E34" s="16">
        <v>62</v>
      </c>
      <c r="F34" s="17">
        <v>4.99</v>
      </c>
      <c r="G34" s="18">
        <v>309.38</v>
      </c>
      <c r="H34" s="19">
        <f t="shared" si="0"/>
        <v>309.38</v>
      </c>
      <c r="I34" s="19" t="str">
        <f>IF(sales_clean_data[[#This Row],[Total]]=sales_clean_data[[#This Row],[Calculated Total]],"Correct","Error")</f>
        <v>Correct</v>
      </c>
    </row>
    <row r="35" spans="1:9" ht="21" x14ac:dyDescent="0.2">
      <c r="A35" s="13">
        <v>45859</v>
      </c>
      <c r="B35" s="14" t="s">
        <v>18</v>
      </c>
      <c r="C35" s="14" t="s">
        <v>33</v>
      </c>
      <c r="D35" s="15" t="s">
        <v>41</v>
      </c>
      <c r="E35" s="16">
        <v>55</v>
      </c>
      <c r="F35" s="17">
        <v>12.49</v>
      </c>
      <c r="G35" s="18">
        <v>686.95</v>
      </c>
      <c r="H35" s="19">
        <f t="shared" si="0"/>
        <v>686.95</v>
      </c>
      <c r="I35" s="19" t="str">
        <f>IF(sales_clean_data[[#This Row],[Total]]=sales_clean_data[[#This Row],[Calculated Total]],"Correct","Error")</f>
        <v>Correct</v>
      </c>
    </row>
    <row r="36" spans="1:9" ht="21" x14ac:dyDescent="0.2">
      <c r="A36" s="13">
        <v>45876</v>
      </c>
      <c r="B36" s="14" t="s">
        <v>18</v>
      </c>
      <c r="C36" s="14" t="s">
        <v>19</v>
      </c>
      <c r="D36" s="15" t="s">
        <v>41</v>
      </c>
      <c r="E36" s="16">
        <v>42</v>
      </c>
      <c r="F36" s="17">
        <v>23.95</v>
      </c>
      <c r="G36" s="18">
        <v>1005.9</v>
      </c>
      <c r="H36" s="19">
        <f t="shared" si="0"/>
        <v>1005.9</v>
      </c>
      <c r="I36" s="19" t="str">
        <f>IF(sales_clean_data[[#This Row],[Total]]=sales_clean_data[[#This Row],[Calculated Total]],"Correct","Error")</f>
        <v>Correct</v>
      </c>
    </row>
    <row r="37" spans="1:9" ht="21" x14ac:dyDescent="0.2">
      <c r="A37" s="13">
        <v>45893</v>
      </c>
      <c r="B37" s="14" t="s">
        <v>26</v>
      </c>
      <c r="C37" s="14" t="s">
        <v>27</v>
      </c>
      <c r="D37" s="15" t="s">
        <v>39</v>
      </c>
      <c r="E37" s="16">
        <v>3</v>
      </c>
      <c r="F37" s="17">
        <v>275</v>
      </c>
      <c r="G37" s="18">
        <v>825</v>
      </c>
      <c r="H37" s="19">
        <f t="shared" si="0"/>
        <v>825</v>
      </c>
      <c r="I37" s="19" t="str">
        <f>IF(sales_clean_data[[#This Row],[Total]]=sales_clean_data[[#This Row],[Calculated Total]],"Correct","Error")</f>
        <v>Correct</v>
      </c>
    </row>
    <row r="38" spans="1:9" ht="21" x14ac:dyDescent="0.2">
      <c r="A38" s="13">
        <v>45910</v>
      </c>
      <c r="B38" s="14" t="s">
        <v>18</v>
      </c>
      <c r="C38" s="14" t="s">
        <v>23</v>
      </c>
      <c r="D38" s="15" t="s">
        <v>16</v>
      </c>
      <c r="E38" s="16">
        <v>7</v>
      </c>
      <c r="F38" s="17">
        <v>1.29</v>
      </c>
      <c r="G38" s="18">
        <v>9.0299999999999994</v>
      </c>
      <c r="H38" s="19">
        <f t="shared" si="0"/>
        <v>9.0300000000000011</v>
      </c>
      <c r="I38" s="19" t="str">
        <f>IF(sales_clean_data[[#This Row],[Total]]=sales_clean_data[[#This Row],[Calculated Total]],"Correct","Error")</f>
        <v>Correct</v>
      </c>
    </row>
    <row r="39" spans="1:9" ht="21" x14ac:dyDescent="0.2">
      <c r="A39" s="13">
        <v>45927</v>
      </c>
      <c r="B39" s="14" t="s">
        <v>26</v>
      </c>
      <c r="C39" s="14" t="s">
        <v>27</v>
      </c>
      <c r="D39" s="15" t="s">
        <v>24</v>
      </c>
      <c r="E39" s="16">
        <v>76</v>
      </c>
      <c r="F39" s="17">
        <v>1.99</v>
      </c>
      <c r="G39" s="18">
        <v>151.24</v>
      </c>
      <c r="H39" s="19">
        <f t="shared" si="0"/>
        <v>151.24</v>
      </c>
      <c r="I39" s="19" t="str">
        <f>IF(sales_clean_data[[#This Row],[Total]]=sales_clean_data[[#This Row],[Calculated Total]],"Correct","Error")</f>
        <v>Correct</v>
      </c>
    </row>
    <row r="40" spans="1:9" ht="21" x14ac:dyDescent="0.2">
      <c r="A40" s="13">
        <v>45944</v>
      </c>
      <c r="B40" s="14" t="s">
        <v>26</v>
      </c>
      <c r="C40" s="14" t="s">
        <v>31</v>
      </c>
      <c r="D40" s="15" t="s">
        <v>20</v>
      </c>
      <c r="E40" s="16">
        <v>57</v>
      </c>
      <c r="F40" s="17">
        <v>19.989999999999998</v>
      </c>
      <c r="G40" s="18">
        <v>1139.43</v>
      </c>
      <c r="H40" s="19">
        <f t="shared" si="0"/>
        <v>1139.4299999999998</v>
      </c>
      <c r="I40" s="19" t="str">
        <f>IF(sales_clean_data[[#This Row],[Total]]=sales_clean_data[[#This Row],[Calculated Total]],"Correct","Error")</f>
        <v>Correct</v>
      </c>
    </row>
    <row r="41" spans="1:9" ht="21" x14ac:dyDescent="0.2">
      <c r="A41" s="13">
        <v>45961</v>
      </c>
      <c r="B41" s="14" t="s">
        <v>18</v>
      </c>
      <c r="C41" s="14" t="s">
        <v>29</v>
      </c>
      <c r="D41" s="15" t="s">
        <v>16</v>
      </c>
      <c r="E41" s="16">
        <v>14</v>
      </c>
      <c r="F41" s="17">
        <v>1.29</v>
      </c>
      <c r="G41" s="18">
        <v>18.059999999999999</v>
      </c>
      <c r="H41" s="19">
        <f t="shared" si="0"/>
        <v>18.060000000000002</v>
      </c>
      <c r="I41" s="19" t="str">
        <f>IF(sales_clean_data[[#This Row],[Total]]=sales_clean_data[[#This Row],[Calculated Total]],"Correct","Error")</f>
        <v>Correct</v>
      </c>
    </row>
    <row r="42" spans="1:9" ht="21" x14ac:dyDescent="0.2">
      <c r="A42" s="13">
        <v>45978</v>
      </c>
      <c r="B42" s="14" t="s">
        <v>18</v>
      </c>
      <c r="C42" s="14" t="s">
        <v>21</v>
      </c>
      <c r="D42" s="15" t="s">
        <v>20</v>
      </c>
      <c r="E42" s="16">
        <v>11</v>
      </c>
      <c r="F42" s="17">
        <v>4.99</v>
      </c>
      <c r="G42" s="18">
        <v>54.89</v>
      </c>
      <c r="H42" s="19">
        <f t="shared" si="0"/>
        <v>54.89</v>
      </c>
      <c r="I42" s="19" t="str">
        <f>IF(sales_clean_data[[#This Row],[Total]]=sales_clean_data[[#This Row],[Calculated Total]],"Correct","Error")</f>
        <v>Correct</v>
      </c>
    </row>
    <row r="43" spans="1:9" ht="21" x14ac:dyDescent="0.2">
      <c r="A43" s="13">
        <v>45995</v>
      </c>
      <c r="B43" s="14" t="s">
        <v>18</v>
      </c>
      <c r="C43" s="14" t="s">
        <v>21</v>
      </c>
      <c r="D43" s="15" t="s">
        <v>20</v>
      </c>
      <c r="E43" s="16">
        <v>94</v>
      </c>
      <c r="F43" s="17">
        <v>19.989999999999998</v>
      </c>
      <c r="G43" s="18">
        <v>1879.06</v>
      </c>
      <c r="H43" s="19">
        <f t="shared" si="0"/>
        <v>1879.06</v>
      </c>
      <c r="I43" s="19" t="str">
        <f>IF(sales_clean_data[[#This Row],[Total]]=sales_clean_data[[#This Row],[Calculated Total]],"Correct","Error")</f>
        <v>Correct</v>
      </c>
    </row>
    <row r="44" spans="1:9" ht="21" x14ac:dyDescent="0.2">
      <c r="A44" s="20">
        <v>46012</v>
      </c>
      <c r="B44" s="21" t="s">
        <v>18</v>
      </c>
      <c r="C44" s="21" t="s">
        <v>29</v>
      </c>
      <c r="D44" s="22" t="s">
        <v>20</v>
      </c>
      <c r="E44" s="23">
        <v>28</v>
      </c>
      <c r="F44" s="24">
        <v>4.99</v>
      </c>
      <c r="G44" s="25">
        <v>139.72</v>
      </c>
      <c r="H44" s="19">
        <f t="shared" si="0"/>
        <v>139.72</v>
      </c>
      <c r="I44" s="19" t="str">
        <f>IF(sales_clean_data[[#This Row],[Total]]=sales_clean_data[[#This Row],[Calculated Total]],"Correct","Error")</f>
        <v>Correct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2D391-A61A-F241-8929-8CCAB9BF1D11}">
  <dimension ref="A3:B9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2.83203125" bestFit="1" customWidth="1"/>
    <col min="3" max="9" width="6.33203125" bestFit="1" customWidth="1"/>
    <col min="10" max="36" width="7.33203125" bestFit="1" customWidth="1"/>
    <col min="37" max="42" width="8.33203125" bestFit="1" customWidth="1"/>
    <col min="43" max="43" width="10.5" bestFit="1" customWidth="1"/>
  </cols>
  <sheetData>
    <row r="3" spans="1:2" x14ac:dyDescent="0.2">
      <c r="A3" s="26" t="s">
        <v>61</v>
      </c>
      <c r="B3" s="29" t="s">
        <v>68</v>
      </c>
    </row>
    <row r="4" spans="1:2" x14ac:dyDescent="0.2">
      <c r="A4" s="27" t="s">
        <v>20</v>
      </c>
      <c r="B4" s="29">
        <v>9577.65</v>
      </c>
    </row>
    <row r="5" spans="1:2" x14ac:dyDescent="0.2">
      <c r="A5" s="27" t="s">
        <v>39</v>
      </c>
      <c r="B5" s="29">
        <v>1700</v>
      </c>
    </row>
    <row r="6" spans="1:2" x14ac:dyDescent="0.2">
      <c r="A6" s="27" t="s">
        <v>24</v>
      </c>
      <c r="B6" s="29">
        <v>2045.2199999999998</v>
      </c>
    </row>
    <row r="7" spans="1:2" x14ac:dyDescent="0.2">
      <c r="A7" s="27" t="s">
        <v>41</v>
      </c>
      <c r="B7" s="29">
        <v>4169.87</v>
      </c>
    </row>
    <row r="8" spans="1:2" x14ac:dyDescent="0.2">
      <c r="A8" s="27" t="s">
        <v>16</v>
      </c>
      <c r="B8" s="29">
        <v>2135.1400000000003</v>
      </c>
    </row>
    <row r="9" spans="1:2" x14ac:dyDescent="0.2">
      <c r="A9" s="27" t="s">
        <v>62</v>
      </c>
      <c r="B9" s="29">
        <v>19627.879999999997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57A8-2204-3441-AA0F-373575338280}">
  <dimension ref="A1:C1"/>
  <sheetViews>
    <sheetView workbookViewId="0">
      <selection activeCell="C1" sqref="C1"/>
    </sheetView>
  </sheetViews>
  <sheetFormatPr baseColWidth="10" defaultRowHeight="16" x14ac:dyDescent="0.2"/>
  <cols>
    <col min="1" max="1" width="23" customWidth="1"/>
    <col min="2" max="2" width="21.1640625" customWidth="1"/>
    <col min="3" max="3" width="28.1640625" customWidth="1"/>
  </cols>
  <sheetData>
    <row r="1" spans="1:3" x14ac:dyDescent="0.2">
      <c r="A1" s="1" t="s">
        <v>65</v>
      </c>
      <c r="B1" s="1" t="s">
        <v>66</v>
      </c>
      <c r="C1" s="1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7911-6039-744A-BCC9-0B8F80D2C6C2}">
  <dimension ref="A3:B15"/>
  <sheetViews>
    <sheetView topLeftCell="A3" workbookViewId="0">
      <selection activeCell="M31" sqref="M31"/>
    </sheetView>
  </sheetViews>
  <sheetFormatPr baseColWidth="10" defaultRowHeight="16" x14ac:dyDescent="0.2"/>
  <cols>
    <col min="1" max="1" width="13" bestFit="1" customWidth="1"/>
    <col min="2" max="2" width="20.6640625" style="29" bestFit="1" customWidth="1"/>
  </cols>
  <sheetData>
    <row r="3" spans="1:2" x14ac:dyDescent="0.2">
      <c r="A3" s="26" t="s">
        <v>9</v>
      </c>
      <c r="B3" s="29" t="s">
        <v>63</v>
      </c>
    </row>
    <row r="4" spans="1:2" x14ac:dyDescent="0.2">
      <c r="A4" s="27" t="s">
        <v>29</v>
      </c>
      <c r="B4" s="29">
        <v>438.37</v>
      </c>
    </row>
    <row r="5" spans="1:2" x14ac:dyDescent="0.2">
      <c r="A5" s="27" t="s">
        <v>23</v>
      </c>
      <c r="B5" s="29">
        <v>1749.8700000000001</v>
      </c>
    </row>
    <row r="6" spans="1:2" x14ac:dyDescent="0.2">
      <c r="A6" s="27" t="s">
        <v>34</v>
      </c>
      <c r="B6" s="29">
        <v>536.75</v>
      </c>
    </row>
    <row r="7" spans="1:2" x14ac:dyDescent="0.2">
      <c r="A7" s="27" t="s">
        <v>21</v>
      </c>
      <c r="B7" s="29">
        <v>2812.19</v>
      </c>
    </row>
    <row r="8" spans="1:2" x14ac:dyDescent="0.2">
      <c r="A8" s="27" t="s">
        <v>15</v>
      </c>
      <c r="B8" s="29">
        <v>2363.04</v>
      </c>
    </row>
    <row r="9" spans="1:2" x14ac:dyDescent="0.2">
      <c r="A9" s="27" t="s">
        <v>19</v>
      </c>
      <c r="B9" s="29">
        <v>3109.44</v>
      </c>
    </row>
    <row r="10" spans="1:2" x14ac:dyDescent="0.2">
      <c r="A10" s="27" t="s">
        <v>33</v>
      </c>
      <c r="B10" s="29">
        <v>1387.77</v>
      </c>
    </row>
    <row r="11" spans="1:2" x14ac:dyDescent="0.2">
      <c r="A11" s="27" t="s">
        <v>36</v>
      </c>
      <c r="B11" s="29">
        <v>3102.2999999999997</v>
      </c>
    </row>
    <row r="12" spans="1:2" x14ac:dyDescent="0.2">
      <c r="A12" s="27" t="s">
        <v>38</v>
      </c>
      <c r="B12" s="29">
        <v>1641.43</v>
      </c>
    </row>
    <row r="13" spans="1:2" x14ac:dyDescent="0.2">
      <c r="A13" s="27" t="s">
        <v>27</v>
      </c>
      <c r="B13" s="29">
        <v>1283.6099999999999</v>
      </c>
    </row>
    <row r="14" spans="1:2" x14ac:dyDescent="0.2">
      <c r="A14" s="27" t="s">
        <v>31</v>
      </c>
      <c r="B14" s="29">
        <v>1203.1099999999999</v>
      </c>
    </row>
    <row r="15" spans="1:2" x14ac:dyDescent="0.2">
      <c r="A15" s="27" t="s">
        <v>62</v>
      </c>
      <c r="B15" s="29">
        <v>19627.88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27B2-C323-B742-91C0-E39B305EC12B}">
  <dimension ref="A3:B7"/>
  <sheetViews>
    <sheetView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12.83203125" style="29" bestFit="1" customWidth="1"/>
  </cols>
  <sheetData>
    <row r="3" spans="1:2" x14ac:dyDescent="0.2">
      <c r="A3" s="26" t="s">
        <v>61</v>
      </c>
      <c r="B3" s="29" t="s">
        <v>68</v>
      </c>
    </row>
    <row r="4" spans="1:2" x14ac:dyDescent="0.2">
      <c r="A4" s="27" t="s">
        <v>18</v>
      </c>
      <c r="B4" s="29">
        <v>11139.069999999998</v>
      </c>
    </row>
    <row r="5" spans="1:2" x14ac:dyDescent="0.2">
      <c r="A5" s="27" t="s">
        <v>14</v>
      </c>
      <c r="B5" s="29">
        <v>6002.09</v>
      </c>
    </row>
    <row r="6" spans="1:2" x14ac:dyDescent="0.2">
      <c r="A6" s="27" t="s">
        <v>26</v>
      </c>
      <c r="B6" s="29">
        <v>2486.7199999999998</v>
      </c>
    </row>
    <row r="7" spans="1:2" x14ac:dyDescent="0.2">
      <c r="A7" s="27" t="s">
        <v>62</v>
      </c>
      <c r="B7" s="29">
        <v>19627.879999999997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9A46-2DEF-894E-8B98-684671E3751E}">
  <dimension ref="A1"/>
  <sheetViews>
    <sheetView workbookViewId="0">
      <selection activeCell="A2" sqref="A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Analyst Project</vt:lpstr>
      <vt:lpstr>sale_raw_data</vt:lpstr>
      <vt:lpstr>o_supply_sales_analysis.xlsx</vt:lpstr>
      <vt:lpstr>salesAnalysis</vt:lpstr>
      <vt:lpstr>data_cleaning_log</vt:lpstr>
      <vt:lpstr>sales_by_rep</vt:lpstr>
      <vt:lpstr>sales_by_region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Andrene Mckenzie (25126920)</dc:creator>
  <cp:lastModifiedBy>Andrene McKenzie</cp:lastModifiedBy>
  <dcterms:created xsi:type="dcterms:W3CDTF">2026-02-19T12:08:59Z</dcterms:created>
  <dcterms:modified xsi:type="dcterms:W3CDTF">2026-02-20T21:20:14Z</dcterms:modified>
</cp:coreProperties>
</file>